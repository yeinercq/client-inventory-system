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G:\Mi unidad\client &amp; inventory system\V1.0\"/>
    </mc:Choice>
  </mc:AlternateContent>
  <bookViews>
    <workbookView xWindow="0" yWindow="0" windowWidth="20490" windowHeight="7755"/>
  </bookViews>
  <sheets>
    <sheet name="TABLERO" sheetId="1" r:id="rId1"/>
    <sheet name="CONTROL INVENTARIO" sheetId="6" r:id="rId2"/>
    <sheet name="INFORMES CLIENTES" sheetId="4" r:id="rId3"/>
    <sheet name="INFORMES DE VENTAS" sheetId="7" r:id="rId4"/>
    <sheet name="FACTURA" sheetId="3" r:id="rId5"/>
    <sheet name="METADATA" sheetId="8" r:id="rId6"/>
  </sheets>
  <functionGroups builtInGroupCount="18"/>
  <externalReferences>
    <externalReference r:id="rId7"/>
  </externalReferences>
  <definedNames>
    <definedName name="CODIGO">[1]!Tabla1[Código]</definedName>
    <definedName name="MOVIMIENTO">METADATA!$A$1:$A$5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6" l="1"/>
  <c r="H10" i="1" l="1"/>
  <c r="H9" i="6" l="1"/>
  <c r="O1000" i="6" l="1"/>
  <c r="O968" i="6"/>
  <c r="O841" i="6"/>
  <c r="O809" i="6"/>
  <c r="O777" i="6"/>
  <c r="O745" i="6"/>
  <c r="O713" i="6"/>
  <c r="O684" i="6"/>
  <c r="O646" i="6"/>
  <c r="O618" i="6"/>
  <c r="O582" i="6"/>
  <c r="O550" i="6"/>
  <c r="O518" i="6"/>
  <c r="O486" i="6"/>
  <c r="O454" i="6"/>
  <c r="O422" i="6"/>
  <c r="O390" i="6"/>
  <c r="O313" i="6"/>
  <c r="O311" i="6"/>
  <c r="O305" i="6"/>
  <c r="O303" i="6"/>
  <c r="O297" i="6"/>
  <c r="O295" i="6"/>
  <c r="O289" i="6"/>
  <c r="O287" i="6"/>
  <c r="O279" i="6"/>
  <c r="O273" i="6"/>
  <c r="O271" i="6"/>
  <c r="O265" i="6"/>
  <c r="O263" i="6"/>
  <c r="O257" i="6"/>
  <c r="O255" i="6"/>
  <c r="O249" i="6"/>
  <c r="O241" i="6"/>
  <c r="O233" i="6"/>
  <c r="O225" i="6"/>
  <c r="O217" i="6"/>
  <c r="O209" i="6"/>
  <c r="O201" i="6"/>
  <c r="O193" i="6"/>
  <c r="O185" i="6"/>
  <c r="O177" i="6"/>
  <c r="O169" i="6"/>
  <c r="O161" i="6"/>
  <c r="O153" i="6"/>
  <c r="O145" i="6"/>
  <c r="O137" i="6"/>
  <c r="O129" i="6"/>
  <c r="O121" i="6"/>
  <c r="O105" i="6"/>
  <c r="O97" i="6"/>
  <c r="O89" i="6"/>
  <c r="O83" i="6"/>
  <c r="O81" i="6"/>
  <c r="O75" i="6"/>
  <c r="O73" i="6"/>
  <c r="O67" i="6"/>
  <c r="O59" i="6"/>
  <c r="O51" i="6"/>
  <c r="O49" i="6"/>
  <c r="O43" i="6"/>
  <c r="O41" i="6"/>
  <c r="O35" i="6"/>
  <c r="O33" i="6"/>
  <c r="O27" i="6"/>
  <c r="O25" i="6"/>
  <c r="O14" i="6"/>
  <c r="H4" i="6"/>
  <c r="O65" i="6" l="1"/>
  <c r="O57" i="6"/>
  <c r="O113" i="6"/>
  <c r="O281" i="6"/>
  <c r="O614" i="6"/>
  <c r="O19" i="6"/>
  <c r="O406" i="6"/>
  <c r="O438" i="6"/>
  <c r="O470" i="6"/>
  <c r="O502" i="6"/>
  <c r="O534" i="6"/>
  <c r="O566" i="6"/>
  <c r="O598" i="6"/>
  <c r="O630" i="6"/>
  <c r="O662" i="6"/>
  <c r="O697" i="6"/>
  <c r="O729" i="6"/>
  <c r="O761" i="6"/>
  <c r="O793" i="6"/>
  <c r="O825" i="6"/>
  <c r="O857" i="6"/>
  <c r="O952" i="6"/>
  <c r="O984" i="6"/>
  <c r="O382" i="6"/>
  <c r="O398" i="6"/>
  <c r="O414" i="6"/>
  <c r="O430" i="6"/>
  <c r="O446" i="6"/>
  <c r="O462" i="6"/>
  <c r="O478" i="6"/>
  <c r="O494" i="6"/>
  <c r="O510" i="6"/>
  <c r="O526" i="6"/>
  <c r="O542" i="6"/>
  <c r="O558" i="6"/>
  <c r="O574" i="6"/>
  <c r="O590" i="6"/>
  <c r="O606" i="6"/>
  <c r="O622" i="6"/>
  <c r="O638" i="6"/>
  <c r="O654" i="6"/>
  <c r="O676" i="6"/>
  <c r="O689" i="6"/>
  <c r="O705" i="6"/>
  <c r="O721" i="6"/>
  <c r="O737" i="6"/>
  <c r="O753" i="6"/>
  <c r="O769" i="6"/>
  <c r="O785" i="6"/>
  <c r="O801" i="6"/>
  <c r="O817" i="6"/>
  <c r="O833" i="6"/>
  <c r="O849" i="6"/>
  <c r="O944" i="6"/>
  <c r="O960" i="6"/>
  <c r="O976" i="6"/>
  <c r="O992" i="6"/>
  <c r="O318" i="6"/>
  <c r="O326" i="6"/>
  <c r="O334" i="6"/>
  <c r="O342" i="6"/>
  <c r="O350" i="6"/>
  <c r="O358" i="6"/>
  <c r="O366" i="6"/>
  <c r="O374" i="6"/>
  <c r="O580" i="6"/>
  <c r="O588" i="6"/>
  <c r="O596" i="6"/>
  <c r="O604" i="6"/>
  <c r="O612" i="6"/>
  <c r="O620" i="6"/>
  <c r="O628" i="6"/>
  <c r="O636" i="6"/>
  <c r="O644" i="6"/>
  <c r="O652" i="6"/>
  <c r="O660" i="6"/>
  <c r="O668" i="6"/>
  <c r="O670" i="6"/>
  <c r="O678" i="6"/>
  <c r="O687" i="6"/>
  <c r="O869" i="6"/>
  <c r="O877" i="6"/>
  <c r="O885" i="6"/>
  <c r="O893" i="6"/>
  <c r="O901" i="6"/>
  <c r="O909" i="6"/>
  <c r="O917" i="6"/>
  <c r="O925" i="6"/>
  <c r="O933" i="6"/>
  <c r="O941" i="6"/>
  <c r="O22" i="6"/>
  <c r="O30" i="6"/>
  <c r="O38" i="6"/>
  <c r="O46" i="6"/>
  <c r="O54" i="6"/>
  <c r="O62" i="6"/>
  <c r="O70" i="6"/>
  <c r="O78" i="6"/>
  <c r="O86" i="6"/>
  <c r="O92" i="6"/>
  <c r="O100" i="6"/>
  <c r="O108" i="6"/>
  <c r="O116" i="6"/>
  <c r="O124" i="6"/>
  <c r="O132" i="6"/>
  <c r="O148" i="6"/>
  <c r="O164" i="6"/>
  <c r="O180" i="6"/>
  <c r="O196" i="6"/>
  <c r="O212" i="6"/>
  <c r="O228" i="6"/>
  <c r="O244" i="6"/>
  <c r="O260" i="6"/>
  <c r="O276" i="6"/>
  <c r="O292" i="6"/>
  <c r="O308" i="6"/>
  <c r="O329" i="6"/>
  <c r="O345" i="6"/>
  <c r="O361" i="6"/>
  <c r="O377" i="6"/>
  <c r="O393" i="6"/>
  <c r="O409" i="6"/>
  <c r="O425" i="6"/>
  <c r="O441" i="6"/>
  <c r="O457" i="6"/>
  <c r="O473" i="6"/>
  <c r="O489" i="6"/>
  <c r="O505" i="6"/>
  <c r="O521" i="6"/>
  <c r="O537" i="6"/>
  <c r="O553" i="6"/>
  <c r="O569" i="6"/>
  <c r="O585" i="6"/>
  <c r="O601" i="6"/>
  <c r="O617" i="6"/>
  <c r="O649" i="6"/>
  <c r="O681" i="6"/>
  <c r="O692" i="6"/>
  <c r="O724" i="6"/>
  <c r="O756" i="6"/>
  <c r="O788" i="6"/>
  <c r="O820" i="6"/>
  <c r="O852" i="6"/>
  <c r="O888" i="6"/>
  <c r="O995" i="6"/>
  <c r="O21" i="6"/>
  <c r="O23" i="6"/>
  <c r="O26" i="6"/>
  <c r="O29" i="6"/>
  <c r="O31" i="6"/>
  <c r="O34" i="6"/>
  <c r="O37" i="6"/>
  <c r="O39" i="6"/>
  <c r="O42" i="6"/>
  <c r="O45" i="6"/>
  <c r="O47" i="6"/>
  <c r="O50" i="6"/>
  <c r="O53" i="6"/>
  <c r="O55" i="6"/>
  <c r="O58" i="6"/>
  <c r="O61" i="6"/>
  <c r="O63" i="6"/>
  <c r="O66" i="6"/>
  <c r="O69" i="6"/>
  <c r="O71" i="6"/>
  <c r="O74" i="6"/>
  <c r="O77" i="6"/>
  <c r="O79" i="6"/>
  <c r="O82" i="6"/>
  <c r="O85" i="6"/>
  <c r="O87" i="6"/>
  <c r="O93" i="6"/>
  <c r="O96" i="6"/>
  <c r="O101" i="6"/>
  <c r="O104" i="6"/>
  <c r="O109" i="6"/>
  <c r="O112" i="6"/>
  <c r="O117" i="6"/>
  <c r="O120" i="6"/>
  <c r="O125" i="6"/>
  <c r="O128" i="6"/>
  <c r="O140" i="6"/>
  <c r="O156" i="6"/>
  <c r="O172" i="6"/>
  <c r="O188" i="6"/>
  <c r="O204" i="6"/>
  <c r="O220" i="6"/>
  <c r="O236" i="6"/>
  <c r="O252" i="6"/>
  <c r="O268" i="6"/>
  <c r="O284" i="6"/>
  <c r="O300" i="6"/>
  <c r="O316" i="6"/>
  <c r="O321" i="6"/>
  <c r="O337" i="6"/>
  <c r="O353" i="6"/>
  <c r="O369" i="6"/>
  <c r="O385" i="6"/>
  <c r="O401" i="6"/>
  <c r="O417" i="6"/>
  <c r="O433" i="6"/>
  <c r="O449" i="6"/>
  <c r="O465" i="6"/>
  <c r="O481" i="6"/>
  <c r="O497" i="6"/>
  <c r="O513" i="6"/>
  <c r="O529" i="6"/>
  <c r="O545" i="6"/>
  <c r="O561" i="6"/>
  <c r="O577" i="6"/>
  <c r="O593" i="6"/>
  <c r="O609" i="6"/>
  <c r="O633" i="6"/>
  <c r="O665" i="6"/>
  <c r="O708" i="6"/>
  <c r="O740" i="6"/>
  <c r="O772" i="6"/>
  <c r="O804" i="6"/>
  <c r="O836" i="6"/>
  <c r="O920" i="6"/>
  <c r="O963" i="6"/>
  <c r="O133" i="6"/>
  <c r="O136" i="6"/>
  <c r="O141" i="6"/>
  <c r="O144" i="6"/>
  <c r="O149" i="6"/>
  <c r="O152" i="6"/>
  <c r="O157" i="6"/>
  <c r="O160" i="6"/>
  <c r="O165" i="6"/>
  <c r="O168" i="6"/>
  <c r="O173" i="6"/>
  <c r="O176" i="6"/>
  <c r="O181" i="6"/>
  <c r="O184" i="6"/>
  <c r="O189" i="6"/>
  <c r="O192" i="6"/>
  <c r="O197" i="6"/>
  <c r="O200" i="6"/>
  <c r="O205" i="6"/>
  <c r="O208" i="6"/>
  <c r="O213" i="6"/>
  <c r="O216" i="6"/>
  <c r="O221" i="6"/>
  <c r="O224" i="6"/>
  <c r="O229" i="6"/>
  <c r="O232" i="6"/>
  <c r="O237" i="6"/>
  <c r="O240" i="6"/>
  <c r="O245" i="6"/>
  <c r="O248" i="6"/>
  <c r="O253" i="6"/>
  <c r="O256" i="6"/>
  <c r="O259" i="6"/>
  <c r="O261" i="6"/>
  <c r="O264" i="6"/>
  <c r="O267" i="6"/>
  <c r="O269" i="6"/>
  <c r="O272" i="6"/>
  <c r="O275" i="6"/>
  <c r="O277" i="6"/>
  <c r="O280" i="6"/>
  <c r="O283" i="6"/>
  <c r="O285" i="6"/>
  <c r="O288" i="6"/>
  <c r="O291" i="6"/>
  <c r="O293" i="6"/>
  <c r="O296" i="6"/>
  <c r="O299" i="6"/>
  <c r="O301" i="6"/>
  <c r="O304" i="6"/>
  <c r="O307" i="6"/>
  <c r="O309" i="6"/>
  <c r="O312" i="6"/>
  <c r="O315" i="6"/>
  <c r="O317" i="6"/>
  <c r="O322" i="6"/>
  <c r="O325" i="6"/>
  <c r="O330" i="6"/>
  <c r="O333" i="6"/>
  <c r="O338" i="6"/>
  <c r="O341" i="6"/>
  <c r="O346" i="6"/>
  <c r="O349" i="6"/>
  <c r="O354" i="6"/>
  <c r="O357" i="6"/>
  <c r="O362" i="6"/>
  <c r="O365" i="6"/>
  <c r="O370" i="6"/>
  <c r="O373" i="6"/>
  <c r="O378" i="6"/>
  <c r="O381" i="6"/>
  <c r="O386" i="6"/>
  <c r="O389" i="6"/>
  <c r="O394" i="6"/>
  <c r="O397" i="6"/>
  <c r="O402" i="6"/>
  <c r="O405" i="6"/>
  <c r="O410" i="6"/>
  <c r="O413" i="6"/>
  <c r="O418" i="6"/>
  <c r="O421" i="6"/>
  <c r="O426" i="6"/>
  <c r="O429" i="6"/>
  <c r="O434" i="6"/>
  <c r="O437" i="6"/>
  <c r="O442" i="6"/>
  <c r="O445" i="6"/>
  <c r="O450" i="6"/>
  <c r="O453" i="6"/>
  <c r="O458" i="6"/>
  <c r="O461" i="6"/>
  <c r="O466" i="6"/>
  <c r="O469" i="6"/>
  <c r="O474" i="6"/>
  <c r="O477" i="6"/>
  <c r="O482" i="6"/>
  <c r="O485" i="6"/>
  <c r="O490" i="6"/>
  <c r="O493" i="6"/>
  <c r="O498" i="6"/>
  <c r="O501" i="6"/>
  <c r="O506" i="6"/>
  <c r="O509" i="6"/>
  <c r="O514" i="6"/>
  <c r="O517" i="6"/>
  <c r="O522" i="6"/>
  <c r="O525" i="6"/>
  <c r="O530" i="6"/>
  <c r="O533" i="6"/>
  <c r="O538" i="6"/>
  <c r="O541" i="6"/>
  <c r="O546" i="6"/>
  <c r="O549" i="6"/>
  <c r="O554" i="6"/>
  <c r="O557" i="6"/>
  <c r="O562" i="6"/>
  <c r="O565" i="6"/>
  <c r="O570" i="6"/>
  <c r="O573" i="6"/>
  <c r="O578" i="6"/>
  <c r="O581" i="6"/>
  <c r="O584" i="6"/>
  <c r="O586" i="6"/>
  <c r="O589" i="6"/>
  <c r="O592" i="6"/>
  <c r="O594" i="6"/>
  <c r="O597" i="6"/>
  <c r="O600" i="6"/>
  <c r="O602" i="6"/>
  <c r="O605" i="6"/>
  <c r="O608" i="6"/>
  <c r="O610" i="6"/>
  <c r="O613" i="6"/>
  <c r="O616" i="6"/>
  <c r="O625" i="6"/>
  <c r="O641" i="6"/>
  <c r="O657" i="6"/>
  <c r="O673" i="6"/>
  <c r="O700" i="6"/>
  <c r="O716" i="6"/>
  <c r="O732" i="6"/>
  <c r="O748" i="6"/>
  <c r="O764" i="6"/>
  <c r="O780" i="6"/>
  <c r="O796" i="6"/>
  <c r="O812" i="6"/>
  <c r="O828" i="6"/>
  <c r="O844" i="6"/>
  <c r="O860" i="6"/>
  <c r="O872" i="6"/>
  <c r="O904" i="6"/>
  <c r="O936" i="6"/>
  <c r="O947" i="6"/>
  <c r="O979" i="6"/>
  <c r="O621" i="6"/>
  <c r="O624" i="6"/>
  <c r="O626" i="6"/>
  <c r="O629" i="6"/>
  <c r="O632" i="6"/>
  <c r="O634" i="6"/>
  <c r="O637" i="6"/>
  <c r="O640" i="6"/>
  <c r="O642" i="6"/>
  <c r="O645" i="6"/>
  <c r="O648" i="6"/>
  <c r="O650" i="6"/>
  <c r="O653" i="6"/>
  <c r="O656" i="6"/>
  <c r="O658" i="6"/>
  <c r="O661" i="6"/>
  <c r="O664" i="6"/>
  <c r="O666" i="6"/>
  <c r="O669" i="6"/>
  <c r="O672" i="6"/>
  <c r="O674" i="6"/>
  <c r="O677" i="6"/>
  <c r="O680" i="6"/>
  <c r="O682" i="6"/>
  <c r="O685" i="6"/>
  <c r="O688" i="6"/>
  <c r="O693" i="6"/>
  <c r="O696" i="6"/>
  <c r="O701" i="6"/>
  <c r="O704" i="6"/>
  <c r="O709" i="6"/>
  <c r="O712" i="6"/>
  <c r="O717" i="6"/>
  <c r="O720" i="6"/>
  <c r="O725" i="6"/>
  <c r="O728" i="6"/>
  <c r="O733" i="6"/>
  <c r="O736" i="6"/>
  <c r="O741" i="6"/>
  <c r="O744" i="6"/>
  <c r="O749" i="6"/>
  <c r="O752" i="6"/>
  <c r="O757" i="6"/>
  <c r="O760" i="6"/>
  <c r="O765" i="6"/>
  <c r="O768" i="6"/>
  <c r="O773" i="6"/>
  <c r="O776" i="6"/>
  <c r="O781" i="6"/>
  <c r="O784" i="6"/>
  <c r="O789" i="6"/>
  <c r="O792" i="6"/>
  <c r="O797" i="6"/>
  <c r="O800" i="6"/>
  <c r="O805" i="6"/>
  <c r="O808" i="6"/>
  <c r="O813" i="6"/>
  <c r="O816" i="6"/>
  <c r="O821" i="6"/>
  <c r="O824" i="6"/>
  <c r="O829" i="6"/>
  <c r="O832" i="6"/>
  <c r="O837" i="6"/>
  <c r="O840" i="6"/>
  <c r="O845" i="6"/>
  <c r="O848" i="6"/>
  <c r="O853" i="6"/>
  <c r="O856" i="6"/>
  <c r="O861" i="6"/>
  <c r="O864" i="6"/>
  <c r="O880" i="6"/>
  <c r="O896" i="6"/>
  <c r="O912" i="6"/>
  <c r="O928" i="6"/>
  <c r="O955" i="6"/>
  <c r="O971" i="6"/>
  <c r="O987" i="6"/>
  <c r="O865" i="6"/>
  <c r="O868" i="6"/>
  <c r="O873" i="6"/>
  <c r="O876" i="6"/>
  <c r="O881" i="6"/>
  <c r="O884" i="6"/>
  <c r="O889" i="6"/>
  <c r="O892" i="6"/>
  <c r="O897" i="6"/>
  <c r="O900" i="6"/>
  <c r="O905" i="6"/>
  <c r="O908" i="6"/>
  <c r="O913" i="6"/>
  <c r="O916" i="6"/>
  <c r="O921" i="6"/>
  <c r="O924" i="6"/>
  <c r="O929" i="6"/>
  <c r="O932" i="6"/>
  <c r="O937" i="6"/>
  <c r="O940" i="6"/>
  <c r="O948" i="6"/>
  <c r="O951" i="6"/>
  <c r="O956" i="6"/>
  <c r="O959" i="6"/>
  <c r="O964" i="6"/>
  <c r="O967" i="6"/>
  <c r="O972" i="6"/>
  <c r="O975" i="6"/>
  <c r="O980" i="6"/>
  <c r="O983" i="6"/>
  <c r="O988" i="6"/>
  <c r="O991" i="6"/>
  <c r="O996" i="6"/>
  <c r="O999" i="6"/>
  <c r="O91" i="6"/>
  <c r="O90" i="6"/>
  <c r="O99" i="6"/>
  <c r="O98" i="6"/>
  <c r="O111" i="6"/>
  <c r="O110" i="6"/>
  <c r="O119" i="6"/>
  <c r="O118" i="6"/>
  <c r="O131" i="6"/>
  <c r="O130" i="6"/>
  <c r="O135" i="6"/>
  <c r="O134" i="6"/>
  <c r="O139" i="6"/>
  <c r="O138" i="6"/>
  <c r="O147" i="6"/>
  <c r="O146" i="6"/>
  <c r="O151" i="6"/>
  <c r="O150" i="6"/>
  <c r="O167" i="6"/>
  <c r="O166" i="6"/>
  <c r="O171" i="6"/>
  <c r="O170" i="6"/>
  <c r="O175" i="6"/>
  <c r="O174" i="6"/>
  <c r="O183" i="6"/>
  <c r="O182" i="6"/>
  <c r="O187" i="6"/>
  <c r="O186" i="6"/>
  <c r="O191" i="6"/>
  <c r="O190" i="6"/>
  <c r="O207" i="6"/>
  <c r="O206" i="6"/>
  <c r="O15" i="6"/>
  <c r="H8" i="6"/>
  <c r="O20" i="6"/>
  <c r="O24" i="6"/>
  <c r="O28" i="6"/>
  <c r="O32" i="6"/>
  <c r="O36" i="6"/>
  <c r="O40" i="6"/>
  <c r="O44" i="6"/>
  <c r="O48" i="6"/>
  <c r="O52" i="6"/>
  <c r="O56" i="6"/>
  <c r="O60" i="6"/>
  <c r="O64" i="6"/>
  <c r="O68" i="6"/>
  <c r="O72" i="6"/>
  <c r="O76" i="6"/>
  <c r="O80" i="6"/>
  <c r="O84" i="6"/>
  <c r="O88" i="6"/>
  <c r="O95" i="6"/>
  <c r="O94" i="6"/>
  <c r="O103" i="6"/>
  <c r="O102" i="6"/>
  <c r="O107" i="6"/>
  <c r="O106" i="6"/>
  <c r="O115" i="6"/>
  <c r="O114" i="6"/>
  <c r="O123" i="6"/>
  <c r="O122" i="6"/>
  <c r="O127" i="6"/>
  <c r="O126" i="6"/>
  <c r="O143" i="6"/>
  <c r="O142" i="6"/>
  <c r="O155" i="6"/>
  <c r="O154" i="6"/>
  <c r="O159" i="6"/>
  <c r="O158" i="6"/>
  <c r="O163" i="6"/>
  <c r="O162" i="6"/>
  <c r="O179" i="6"/>
  <c r="O178" i="6"/>
  <c r="O195" i="6"/>
  <c r="O194" i="6"/>
  <c r="O199" i="6"/>
  <c r="O198" i="6"/>
  <c r="O203" i="6"/>
  <c r="O202" i="6"/>
  <c r="O211" i="6"/>
  <c r="O210" i="6"/>
  <c r="O215" i="6"/>
  <c r="O214" i="6"/>
  <c r="O219" i="6"/>
  <c r="O218" i="6"/>
  <c r="O223" i="6"/>
  <c r="O222" i="6"/>
  <c r="O227" i="6"/>
  <c r="O226" i="6"/>
  <c r="O231" i="6"/>
  <c r="O230" i="6"/>
  <c r="O235" i="6"/>
  <c r="O234" i="6"/>
  <c r="O239" i="6"/>
  <c r="O238" i="6"/>
  <c r="O243" i="6"/>
  <c r="O242" i="6"/>
  <c r="O247" i="6"/>
  <c r="O246" i="6"/>
  <c r="O251" i="6"/>
  <c r="O250" i="6"/>
  <c r="O254" i="6"/>
  <c r="O258" i="6"/>
  <c r="O262" i="6"/>
  <c r="O266" i="6"/>
  <c r="O270" i="6"/>
  <c r="O274" i="6"/>
  <c r="O278" i="6"/>
  <c r="O282" i="6"/>
  <c r="O286" i="6"/>
  <c r="O290" i="6"/>
  <c r="O294" i="6"/>
  <c r="O298" i="6"/>
  <c r="O302" i="6"/>
  <c r="O306" i="6"/>
  <c r="O310" i="6"/>
  <c r="O314" i="6"/>
  <c r="O320" i="6"/>
  <c r="O319" i="6"/>
  <c r="O324" i="6"/>
  <c r="O323" i="6"/>
  <c r="O328" i="6"/>
  <c r="O327" i="6"/>
  <c r="O332" i="6"/>
  <c r="O331" i="6"/>
  <c r="O336" i="6"/>
  <c r="O335" i="6"/>
  <c r="O340" i="6"/>
  <c r="O339" i="6"/>
  <c r="O344" i="6"/>
  <c r="O343" i="6"/>
  <c r="O348" i="6"/>
  <c r="O347" i="6"/>
  <c r="O352" i="6"/>
  <c r="O351" i="6"/>
  <c r="O356" i="6"/>
  <c r="O355" i="6"/>
  <c r="O360" i="6"/>
  <c r="O359" i="6"/>
  <c r="O364" i="6"/>
  <c r="O363" i="6"/>
  <c r="O368" i="6"/>
  <c r="O367" i="6"/>
  <c r="O372" i="6"/>
  <c r="O371" i="6"/>
  <c r="O376" i="6"/>
  <c r="O375" i="6"/>
  <c r="O380" i="6"/>
  <c r="O379" i="6"/>
  <c r="O384" i="6"/>
  <c r="O383" i="6"/>
  <c r="O388" i="6"/>
  <c r="O387" i="6"/>
  <c r="O392" i="6"/>
  <c r="O391" i="6"/>
  <c r="O396" i="6"/>
  <c r="O395" i="6"/>
  <c r="O400" i="6"/>
  <c r="O399" i="6"/>
  <c r="O404" i="6"/>
  <c r="O403" i="6"/>
  <c r="O408" i="6"/>
  <c r="O407" i="6"/>
  <c r="O412" i="6"/>
  <c r="O411" i="6"/>
  <c r="O416" i="6"/>
  <c r="O415" i="6"/>
  <c r="O420" i="6"/>
  <c r="O419" i="6"/>
  <c r="O424" i="6"/>
  <c r="O423" i="6"/>
  <c r="O428" i="6"/>
  <c r="O427" i="6"/>
  <c r="O432" i="6"/>
  <c r="O431" i="6"/>
  <c r="O436" i="6"/>
  <c r="O435" i="6"/>
  <c r="O440" i="6"/>
  <c r="O439" i="6"/>
  <c r="O444" i="6"/>
  <c r="O443" i="6"/>
  <c r="O448" i="6"/>
  <c r="O447" i="6"/>
  <c r="O452" i="6"/>
  <c r="O451" i="6"/>
  <c r="O456" i="6"/>
  <c r="O455" i="6"/>
  <c r="O460" i="6"/>
  <c r="O459" i="6"/>
  <c r="O464" i="6"/>
  <c r="O463" i="6"/>
  <c r="O468" i="6"/>
  <c r="O467" i="6"/>
  <c r="O472" i="6"/>
  <c r="O471" i="6"/>
  <c r="O476" i="6"/>
  <c r="O475" i="6"/>
  <c r="O480" i="6"/>
  <c r="O479" i="6"/>
  <c r="O484" i="6"/>
  <c r="O483" i="6"/>
  <c r="O488" i="6"/>
  <c r="O487" i="6"/>
  <c r="O492" i="6"/>
  <c r="O491" i="6"/>
  <c r="O496" i="6"/>
  <c r="O495" i="6"/>
  <c r="O500" i="6"/>
  <c r="O499" i="6"/>
  <c r="O504" i="6"/>
  <c r="O503" i="6"/>
  <c r="O508" i="6"/>
  <c r="O507" i="6"/>
  <c r="O512" i="6"/>
  <c r="O511" i="6"/>
  <c r="O516" i="6"/>
  <c r="O515" i="6"/>
  <c r="O520" i="6"/>
  <c r="O519" i="6"/>
  <c r="O524" i="6"/>
  <c r="O523" i="6"/>
  <c r="O528" i="6"/>
  <c r="O527" i="6"/>
  <c r="O532" i="6"/>
  <c r="O531" i="6"/>
  <c r="O536" i="6"/>
  <c r="O535" i="6"/>
  <c r="O540" i="6"/>
  <c r="O539" i="6"/>
  <c r="O544" i="6"/>
  <c r="O543" i="6"/>
  <c r="O548" i="6"/>
  <c r="O547" i="6"/>
  <c r="O552" i="6"/>
  <c r="O551" i="6"/>
  <c r="O556" i="6"/>
  <c r="O555" i="6"/>
  <c r="O560" i="6"/>
  <c r="O559" i="6"/>
  <c r="O564" i="6"/>
  <c r="O563" i="6"/>
  <c r="O568" i="6"/>
  <c r="O567" i="6"/>
  <c r="O572" i="6"/>
  <c r="O571" i="6"/>
  <c r="O576" i="6"/>
  <c r="O575" i="6"/>
  <c r="O691" i="6"/>
  <c r="O690" i="6"/>
  <c r="O707" i="6"/>
  <c r="O706" i="6"/>
  <c r="O715" i="6"/>
  <c r="O714" i="6"/>
  <c r="O719" i="6"/>
  <c r="O718" i="6"/>
  <c r="O723" i="6"/>
  <c r="O722" i="6"/>
  <c r="O727" i="6"/>
  <c r="O726" i="6"/>
  <c r="O731" i="6"/>
  <c r="O730" i="6"/>
  <c r="O735" i="6"/>
  <c r="O734" i="6"/>
  <c r="O739" i="6"/>
  <c r="O738" i="6"/>
  <c r="O743" i="6"/>
  <c r="O742" i="6"/>
  <c r="O747" i="6"/>
  <c r="O746" i="6"/>
  <c r="O751" i="6"/>
  <c r="O750" i="6"/>
  <c r="O755" i="6"/>
  <c r="O754" i="6"/>
  <c r="O759" i="6"/>
  <c r="O758" i="6"/>
  <c r="O763" i="6"/>
  <c r="O762" i="6"/>
  <c r="O767" i="6"/>
  <c r="O766" i="6"/>
  <c r="O771" i="6"/>
  <c r="O770" i="6"/>
  <c r="O775" i="6"/>
  <c r="O774" i="6"/>
  <c r="O779" i="6"/>
  <c r="O778" i="6"/>
  <c r="O783" i="6"/>
  <c r="O782" i="6"/>
  <c r="O787" i="6"/>
  <c r="O786" i="6"/>
  <c r="O791" i="6"/>
  <c r="O790" i="6"/>
  <c r="O795" i="6"/>
  <c r="O794" i="6"/>
  <c r="O799" i="6"/>
  <c r="O798" i="6"/>
  <c r="O803" i="6"/>
  <c r="O802" i="6"/>
  <c r="O807" i="6"/>
  <c r="O806" i="6"/>
  <c r="O811" i="6"/>
  <c r="O810" i="6"/>
  <c r="O815" i="6"/>
  <c r="O814" i="6"/>
  <c r="O819" i="6"/>
  <c r="O818" i="6"/>
  <c r="O823" i="6"/>
  <c r="O822" i="6"/>
  <c r="O827" i="6"/>
  <c r="O826" i="6"/>
  <c r="O831" i="6"/>
  <c r="O830" i="6"/>
  <c r="O835" i="6"/>
  <c r="O834" i="6"/>
  <c r="O839" i="6"/>
  <c r="O838" i="6"/>
  <c r="O843" i="6"/>
  <c r="O842" i="6"/>
  <c r="O847" i="6"/>
  <c r="O846" i="6"/>
  <c r="O851" i="6"/>
  <c r="O850" i="6"/>
  <c r="O855" i="6"/>
  <c r="O854" i="6"/>
  <c r="O859" i="6"/>
  <c r="O858" i="6"/>
  <c r="O863" i="6"/>
  <c r="O862" i="6"/>
  <c r="O867" i="6"/>
  <c r="O866" i="6"/>
  <c r="O871" i="6"/>
  <c r="O870" i="6"/>
  <c r="O875" i="6"/>
  <c r="O874" i="6"/>
  <c r="O879" i="6"/>
  <c r="O878" i="6"/>
  <c r="O883" i="6"/>
  <c r="O882" i="6"/>
  <c r="O887" i="6"/>
  <c r="O886" i="6"/>
  <c r="O891" i="6"/>
  <c r="O890" i="6"/>
  <c r="O895" i="6"/>
  <c r="O894" i="6"/>
  <c r="O899" i="6"/>
  <c r="O898" i="6"/>
  <c r="O903" i="6"/>
  <c r="O902" i="6"/>
  <c r="O907" i="6"/>
  <c r="O906" i="6"/>
  <c r="O911" i="6"/>
  <c r="O910" i="6"/>
  <c r="O915" i="6"/>
  <c r="O914" i="6"/>
  <c r="O919" i="6"/>
  <c r="O918" i="6"/>
  <c r="O923" i="6"/>
  <c r="O922" i="6"/>
  <c r="O927" i="6"/>
  <c r="O926" i="6"/>
  <c r="O931" i="6"/>
  <c r="O930" i="6"/>
  <c r="O935" i="6"/>
  <c r="O934" i="6"/>
  <c r="O939" i="6"/>
  <c r="O938" i="6"/>
  <c r="O943" i="6"/>
  <c r="O942" i="6"/>
  <c r="O695" i="6"/>
  <c r="O694" i="6"/>
  <c r="O699" i="6"/>
  <c r="O698" i="6"/>
  <c r="O703" i="6"/>
  <c r="O702" i="6"/>
  <c r="O711" i="6"/>
  <c r="O710" i="6"/>
  <c r="O579" i="6"/>
  <c r="O583" i="6"/>
  <c r="O587" i="6"/>
  <c r="O591" i="6"/>
  <c r="O595" i="6"/>
  <c r="O599" i="6"/>
  <c r="O603" i="6"/>
  <c r="O607" i="6"/>
  <c r="O611" i="6"/>
  <c r="O615" i="6"/>
  <c r="O619" i="6"/>
  <c r="O623" i="6"/>
  <c r="O627" i="6"/>
  <c r="O631" i="6"/>
  <c r="O635" i="6"/>
  <c r="O639" i="6"/>
  <c r="O643" i="6"/>
  <c r="O647" i="6"/>
  <c r="O651" i="6"/>
  <c r="O655" i="6"/>
  <c r="O659" i="6"/>
  <c r="O663" i="6"/>
  <c r="O667" i="6"/>
  <c r="O671" i="6"/>
  <c r="O675" i="6"/>
  <c r="O679" i="6"/>
  <c r="O683" i="6"/>
  <c r="O686" i="6"/>
  <c r="O946" i="6"/>
  <c r="O945" i="6"/>
  <c r="O950" i="6"/>
  <c r="O949" i="6"/>
  <c r="O954" i="6"/>
  <c r="O953" i="6"/>
  <c r="O958" i="6"/>
  <c r="O957" i="6"/>
  <c r="O962" i="6"/>
  <c r="O961" i="6"/>
  <c r="O966" i="6"/>
  <c r="O965" i="6"/>
  <c r="O970" i="6"/>
  <c r="O969" i="6"/>
  <c r="O974" i="6"/>
  <c r="O973" i="6"/>
  <c r="O978" i="6"/>
  <c r="O977" i="6"/>
  <c r="O982" i="6"/>
  <c r="O981" i="6"/>
  <c r="O986" i="6"/>
  <c r="O985" i="6"/>
  <c r="O990" i="6"/>
  <c r="O989" i="6"/>
  <c r="O994" i="6"/>
  <c r="O993" i="6"/>
  <c r="O998" i="6"/>
  <c r="O997" i="6"/>
  <c r="O16" i="6" l="1"/>
  <c r="O17" i="6" l="1"/>
  <c r="O18" i="6" l="1"/>
  <c r="H6" i="6"/>
  <c r="H7" i="6" l="1"/>
</calcChain>
</file>

<file path=xl/comments1.xml><?xml version="1.0" encoding="utf-8"?>
<comments xmlns="http://schemas.openxmlformats.org/spreadsheetml/2006/main">
  <authors>
    <author>Oscar Alonso Ospina Espinosa</author>
  </authors>
  <commentList>
    <comment ref="F12" authorId="0" shapeId="0">
      <text>
        <r>
          <rPr>
            <b/>
            <sz val="9"/>
            <color indexed="81"/>
            <rFont val="Tahoma"/>
            <family val="2"/>
          </rPr>
          <t xml:space="preserve">Puedes incluir datos como:
</t>
        </r>
        <r>
          <rPr>
            <sz val="9"/>
            <color indexed="81"/>
            <rFont val="Tahoma"/>
            <family val="2"/>
          </rPr>
          <t>- Nombre de Proveedor
- Devolución a Proveedor  por Mercancía Dañada
- Devolución del Cliente por insatisfacción</t>
        </r>
      </text>
    </comment>
  </commentList>
</comments>
</file>

<file path=xl/sharedStrings.xml><?xml version="1.0" encoding="utf-8"?>
<sst xmlns="http://schemas.openxmlformats.org/spreadsheetml/2006/main" count="82" uniqueCount="69">
  <si>
    <t>Teléfono:</t>
  </si>
  <si>
    <t>Factura No.</t>
  </si>
  <si>
    <t>Fecha:</t>
  </si>
  <si>
    <t>Nombre:</t>
  </si>
  <si>
    <t>V/total</t>
  </si>
  <si>
    <t>ITEM</t>
  </si>
  <si>
    <t>V/unitario</t>
  </si>
  <si>
    <t>Cant.</t>
  </si>
  <si>
    <t>Identificación:</t>
  </si>
  <si>
    <t>IDENTIFICACIÓN</t>
  </si>
  <si>
    <t>NOMBRE</t>
  </si>
  <si>
    <t>E-MAIL</t>
  </si>
  <si>
    <t>PROCEDENCIA</t>
  </si>
  <si>
    <t>EDAD</t>
  </si>
  <si>
    <t>FECHA REGISTRO</t>
  </si>
  <si>
    <t>No.</t>
  </si>
  <si>
    <t>YEINER CARVAJAL QUINA</t>
  </si>
  <si>
    <t>FECHA</t>
  </si>
  <si>
    <t>MOVIMIENTO</t>
  </si>
  <si>
    <t>Compra</t>
  </si>
  <si>
    <t>DESCRIPCIÓN</t>
  </si>
  <si>
    <t>CÓDIGO</t>
  </si>
  <si>
    <t>PRODUCTO</t>
  </si>
  <si>
    <t>CONTROL DE INVENTARIO</t>
  </si>
  <si>
    <t>UNIDADES DISPONIBLES EN EL INVENTARIO</t>
  </si>
  <si>
    <t>PRECIO UNITARIO EN EL INVENTARIO</t>
  </si>
  <si>
    <t>* Por favor ingresa el Movimiento de producto</t>
  </si>
  <si>
    <t>Unidades*</t>
  </si>
  <si>
    <t>PRECIO UNIDAD*</t>
  </si>
  <si>
    <t>PRECIO TOTAL</t>
  </si>
  <si>
    <t>* Por favor registra la cantidad y Precio de Unidades</t>
  </si>
  <si>
    <t xml:space="preserve"> (DD/MM/AAAA)</t>
  </si>
  <si>
    <t>* Por favor ingresa la fecha del Movimiento</t>
  </si>
  <si>
    <t>NRO. FACTURA</t>
  </si>
  <si>
    <t>Saldo inicial</t>
  </si>
  <si>
    <t>Devolución de cliente</t>
  </si>
  <si>
    <t>Devolución de proveedor</t>
  </si>
  <si>
    <t>Retiro otro concepto</t>
  </si>
  <si>
    <t>Descripción del movimiento</t>
  </si>
  <si>
    <t>DATOS BÁSICOS DEL PRODUCTO</t>
  </si>
  <si>
    <t>BALANCE</t>
  </si>
  <si>
    <t>SALDO INICIAL</t>
  </si>
  <si>
    <t>ENTRADAS</t>
  </si>
  <si>
    <t>SALDO FINAL</t>
  </si>
  <si>
    <t>CANTIDAD DE UNIDADES DISPONIBLES</t>
  </si>
  <si>
    <t>COSTO DE VENTAS</t>
  </si>
  <si>
    <t>SALIDAS DE INVENTARIO</t>
  </si>
  <si>
    <t>DIFERENCIA</t>
  </si>
  <si>
    <t>ENTRADAS A INVENTARIO</t>
  </si>
  <si>
    <t>SALIDAS INVENTARIO</t>
  </si>
  <si>
    <t>SALDO INVENTARIO</t>
  </si>
  <si>
    <t>Nro. Factura</t>
  </si>
  <si>
    <t>Cantidad</t>
  </si>
  <si>
    <t>Costo Unitario</t>
  </si>
  <si>
    <t>Precio Total</t>
  </si>
  <si>
    <t>Precio Unidad</t>
  </si>
  <si>
    <t>CÓDIGOS FACTURACIÓN</t>
  </si>
  <si>
    <t>FC</t>
  </si>
  <si>
    <t>FV</t>
  </si>
  <si>
    <t>Bulto 50 Kg</t>
  </si>
  <si>
    <t>COOPVALENCIA
NIT: 901495820-5
Teléfono: 3113674395
Dirección: Valencia de la Paz</t>
  </si>
  <si>
    <t>Subtotal</t>
  </si>
  <si>
    <t>Descuento</t>
  </si>
  <si>
    <t>Total</t>
  </si>
  <si>
    <t>PRODUCTOS</t>
  </si>
  <si>
    <t>CLIENTES</t>
  </si>
  <si>
    <t>Abono 15-15-15</t>
  </si>
  <si>
    <t>COOPVALENCIA 
NIT: 901495820-5
Teléfono: 3113674395
Dirección: Valencia de la Paz</t>
  </si>
  <si>
    <t>FV20220109003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</si>
</sst>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7" formatCode="&quot;$&quot;#,##0.00;\-&quot;$&quot;#,##0.00"/>
    <numFmt numFmtId="42" formatCode="_-&quot;$&quot;* #,##0_-;\-&quot;$&quot;* #,##0_-;_-&quot;$&quot;* &quot;-&quot;_-;_-@_-"/>
    <numFmt numFmtId="164" formatCode="&quot;$&quot;#,##0"/>
    <numFmt numFmtId="165" formatCode="#,##0_ ;[Red]\-#,##0\ "/>
    <numFmt numFmtId="166" formatCode="#,##0.0"/>
    <numFmt numFmtId="167" formatCode="#,##0.00_ ;[Red]\-#,##0.00\ "/>
    <numFmt numFmtId="168" formatCode="&quot;$&quot;#,##0.0"/>
    <numFmt numFmtId="169" formatCode="&quot;$&quot;#,##0.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8"/>
      <color theme="1" tint="0.34998626667073579"/>
      <name val="Arial"/>
      <family val="2"/>
    </font>
    <font>
      <sz val="8"/>
      <color theme="1" tint="0.34998626667073579"/>
      <name val="Arial"/>
      <family val="2"/>
    </font>
    <font>
      <sz val="9"/>
      <color theme="1" tint="0.34998626667073579"/>
      <name val="Arial"/>
      <family val="2"/>
    </font>
    <font>
      <b/>
      <sz val="16"/>
      <color theme="8" tint="-0.249977111117893"/>
      <name val="Arial"/>
      <family val="2"/>
    </font>
    <font>
      <b/>
      <sz val="12"/>
      <color theme="0"/>
      <name val="Arial"/>
      <family val="2"/>
    </font>
    <font>
      <b/>
      <u/>
      <sz val="9"/>
      <color theme="1" tint="0.34998626667073579"/>
      <name val="Arial"/>
      <family val="2"/>
    </font>
    <font>
      <b/>
      <u/>
      <sz val="8"/>
      <color theme="1" tint="0.34998626667073579"/>
      <name val="Arial"/>
      <family val="2"/>
    </font>
    <font>
      <sz val="8"/>
      <color rgb="FFC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theme="0"/>
      <name val="Arial"/>
      <family val="2"/>
    </font>
    <font>
      <b/>
      <sz val="12"/>
      <color theme="8" tint="-0.249977111117893"/>
      <name val="Arial"/>
      <family val="2"/>
    </font>
    <font>
      <b/>
      <sz val="8"/>
      <color theme="0"/>
      <name val="Arial"/>
      <family val="2"/>
    </font>
    <font>
      <b/>
      <sz val="9"/>
      <color theme="1" tint="0.34998626667073579"/>
      <name val="Arial"/>
      <family val="2"/>
    </font>
    <font>
      <sz val="10"/>
      <color theme="1" tint="0.34998626667073579"/>
      <name val="Arial"/>
      <family val="2"/>
    </font>
    <font>
      <u/>
      <sz val="8"/>
      <color theme="1" tint="0.34998626667073579"/>
      <name val="Arial"/>
      <family val="2"/>
    </font>
    <font>
      <u/>
      <sz val="8"/>
      <color rgb="FFC00000"/>
      <name val="Arial"/>
      <family val="2"/>
    </font>
    <font>
      <b/>
      <u/>
      <sz val="16"/>
      <color theme="8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rgb="FFECF0F8"/>
        <bgColor indexed="64"/>
      </patternFill>
    </fill>
    <fill>
      <patternFill patternType="solid">
        <fgColor rgb="FFFFFF00"/>
        <bgColor indexed="64"/>
      </patternFill>
    </fill>
  </fills>
  <borders count="98">
    <border>
      <left/>
      <right/>
      <top/>
      <bottom/>
      <diagonal/>
    </border>
    <border>
      <left/>
      <right/>
      <top/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double">
        <color theme="8" tint="-0.2499465926084170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double">
        <color theme="8" tint="-0.24994659260841701"/>
      </right>
      <top/>
      <bottom style="double">
        <color theme="8" tint="-0.24994659260841701"/>
      </bottom>
      <diagonal/>
    </border>
    <border>
      <left style="medium">
        <color theme="8"/>
      </left>
      <right/>
      <top style="medium">
        <color theme="8"/>
      </top>
      <bottom style="thin">
        <color theme="8"/>
      </bottom>
      <diagonal/>
    </border>
    <border>
      <left/>
      <right/>
      <top style="medium">
        <color theme="8"/>
      </top>
      <bottom style="thin">
        <color theme="8"/>
      </bottom>
      <diagonal/>
    </border>
    <border>
      <left/>
      <right style="medium">
        <color theme="8"/>
      </right>
      <top style="medium">
        <color theme="8"/>
      </top>
      <bottom style="thin">
        <color theme="8"/>
      </bottom>
      <diagonal/>
    </border>
    <border>
      <left style="medium">
        <color theme="8"/>
      </left>
      <right/>
      <top/>
      <bottom style="thin">
        <color theme="0"/>
      </bottom>
      <diagonal/>
    </border>
    <border>
      <left style="thin">
        <color theme="0"/>
      </left>
      <right style="medium">
        <color theme="8"/>
      </right>
      <top/>
      <bottom style="thin">
        <color theme="0"/>
      </bottom>
      <diagonal/>
    </border>
    <border>
      <left style="medium">
        <color theme="8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ck">
        <color theme="0"/>
      </left>
      <right/>
      <top style="thin">
        <color theme="0"/>
      </top>
      <bottom style="thin">
        <color theme="0"/>
      </bottom>
      <diagonal/>
    </border>
    <border>
      <left/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8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double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double">
        <color theme="8" tint="-0.24994659260841701"/>
      </left>
      <right style="thin">
        <color theme="0"/>
      </right>
      <top style="double">
        <color theme="8" tint="-0.2499465926084170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double">
        <color theme="8" tint="-0.24994659260841701"/>
      </top>
      <bottom style="thin">
        <color theme="0"/>
      </bottom>
      <diagonal/>
    </border>
    <border>
      <left style="thin">
        <color theme="0"/>
      </left>
      <right style="double">
        <color theme="8" tint="-0.24994659260841701"/>
      </right>
      <top style="double">
        <color theme="8" tint="-0.24994659260841701"/>
      </top>
      <bottom style="thin">
        <color theme="0"/>
      </bottom>
      <diagonal/>
    </border>
    <border>
      <left/>
      <right style="medium">
        <color theme="8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dotted">
        <color theme="8"/>
      </bottom>
      <diagonal/>
    </border>
    <border>
      <left/>
      <right style="double">
        <color theme="8" tint="-0.24994659260841701"/>
      </right>
      <top style="thin">
        <color theme="0"/>
      </top>
      <bottom style="thin">
        <color theme="0"/>
      </bottom>
      <diagonal/>
    </border>
    <border>
      <left/>
      <right style="double">
        <color theme="8" tint="-0.24994659260841701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dotted">
        <color theme="8"/>
      </bottom>
      <diagonal/>
    </border>
    <border>
      <left style="thick">
        <color theme="0"/>
      </left>
      <right/>
      <top style="thin">
        <color theme="0"/>
      </top>
      <bottom style="dotted">
        <color theme="8"/>
      </bottom>
      <diagonal/>
    </border>
    <border>
      <left/>
      <right/>
      <top/>
      <bottom style="thin">
        <color theme="0"/>
      </bottom>
      <diagonal/>
    </border>
    <border>
      <left/>
      <right style="double">
        <color theme="8" tint="-0.24994659260841701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dotted">
        <color theme="8"/>
      </bottom>
      <diagonal/>
    </border>
    <border>
      <left/>
      <right/>
      <top/>
      <bottom style="dotted">
        <color theme="8"/>
      </bottom>
      <diagonal/>
    </border>
    <border>
      <left/>
      <right style="double">
        <color theme="8" tint="-0.24994659260841701"/>
      </right>
      <top/>
      <bottom style="dotted">
        <color theme="8"/>
      </bottom>
      <diagonal/>
    </border>
    <border>
      <left style="double">
        <color theme="8" tint="-0.24994659260841701"/>
      </left>
      <right style="thin">
        <color theme="0"/>
      </right>
      <top style="thin">
        <color theme="0"/>
      </top>
      <bottom style="double">
        <color theme="8" tint="-0.24994659260841701"/>
      </bottom>
      <diagonal/>
    </border>
    <border>
      <left style="thin">
        <color theme="0"/>
      </left>
      <right style="thin">
        <color theme="0"/>
      </right>
      <top/>
      <bottom style="double">
        <color theme="8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double">
        <color theme="8" tint="-0.24994659260841701"/>
      </bottom>
      <diagonal/>
    </border>
    <border>
      <left/>
      <right style="medium">
        <color theme="8"/>
      </right>
      <top style="thin">
        <color theme="0"/>
      </top>
      <bottom/>
      <diagonal/>
    </border>
    <border>
      <left style="thin">
        <color theme="0"/>
      </left>
      <right style="medium">
        <color theme="8"/>
      </right>
      <top style="thin">
        <color theme="0"/>
      </top>
      <bottom/>
      <diagonal/>
    </border>
    <border>
      <left style="medium">
        <color theme="8"/>
      </left>
      <right/>
      <top style="thin">
        <color theme="0"/>
      </top>
      <bottom style="medium">
        <color theme="8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8"/>
      </bottom>
      <diagonal/>
    </border>
    <border>
      <left style="thin">
        <color theme="0"/>
      </left>
      <right/>
      <top style="thin">
        <color theme="0"/>
      </top>
      <bottom style="medium">
        <color theme="8"/>
      </bottom>
      <diagonal/>
    </border>
    <border>
      <left style="thin">
        <color theme="0"/>
      </left>
      <right style="medium">
        <color theme="8"/>
      </right>
      <top style="thin">
        <color theme="0"/>
      </top>
      <bottom style="medium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3"/>
      </left>
      <right/>
      <top style="thick">
        <color theme="3"/>
      </top>
      <bottom style="thick">
        <color theme="3"/>
      </bottom>
      <diagonal/>
    </border>
    <border>
      <left/>
      <right style="thick">
        <color theme="3"/>
      </right>
      <top style="thick">
        <color theme="3"/>
      </top>
      <bottom style="thick">
        <color theme="3"/>
      </bottom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 style="double">
        <color theme="8" tint="-0.24994659260841701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double">
        <color theme="8" tint="-0.24994659260841701"/>
      </right>
      <top/>
      <bottom style="thin">
        <color theme="0"/>
      </bottom>
      <diagonal/>
    </border>
    <border>
      <left style="thin">
        <color theme="0"/>
      </left>
      <right style="double">
        <color theme="8" tint="-0.24994659260841701"/>
      </right>
      <top style="thin">
        <color theme="0"/>
      </top>
      <bottom style="thin">
        <color theme="8" tint="-0.24994659260841701"/>
      </bottom>
      <diagonal/>
    </border>
    <border>
      <left style="thin">
        <color theme="0"/>
      </left>
      <right/>
      <top style="thin">
        <color theme="0"/>
      </top>
      <bottom style="thin">
        <color theme="8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8" tint="-0.499984740745262"/>
      </bottom>
      <diagonal/>
    </border>
    <border>
      <left style="thin">
        <color theme="0"/>
      </left>
      <right/>
      <top style="thin">
        <color theme="0"/>
      </top>
      <bottom style="thin">
        <color theme="3"/>
      </bottom>
      <diagonal/>
    </border>
    <border>
      <left/>
      <right style="thin">
        <color theme="0"/>
      </right>
      <top style="thin">
        <color theme="0"/>
      </top>
      <bottom style="thin">
        <color theme="3"/>
      </bottom>
      <diagonal/>
    </border>
    <border>
      <left style="thin">
        <color theme="8" tint="-0.499984740745262"/>
      </left>
      <right/>
      <top style="thin">
        <color theme="8" tint="-0.499984740745262"/>
      </top>
      <bottom/>
      <diagonal/>
    </border>
    <border>
      <left/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8" tint="-0.499984740745262"/>
      </left>
      <right/>
      <top/>
      <bottom style="thin">
        <color theme="8" tint="-0.499984740745262"/>
      </bottom>
      <diagonal/>
    </border>
    <border>
      <left/>
      <right style="thin">
        <color theme="8" tint="-0.499984740745262"/>
      </right>
      <top/>
      <bottom style="thin">
        <color theme="8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/>
      <bottom style="thin">
        <color theme="8" tint="-0.499984740745262"/>
      </bottom>
      <diagonal/>
    </border>
    <border>
      <left style="thin">
        <color theme="0"/>
      </left>
      <right/>
      <top style="thin">
        <color theme="0"/>
      </top>
      <bottom style="double">
        <color theme="3"/>
      </bottom>
      <diagonal/>
    </border>
    <border>
      <left/>
      <right style="thin">
        <color theme="0"/>
      </right>
      <top style="thin">
        <color theme="0"/>
      </top>
      <bottom style="double">
        <color theme="3"/>
      </bottom>
      <diagonal/>
    </border>
    <border>
      <left style="thin">
        <color theme="0"/>
      </left>
      <right/>
      <top/>
      <bottom style="double">
        <color theme="3"/>
      </bottom>
      <diagonal/>
    </border>
    <border>
      <left/>
      <right style="thin">
        <color theme="0"/>
      </right>
      <top/>
      <bottom style="double">
        <color theme="3"/>
      </bottom>
      <diagonal/>
    </border>
    <border>
      <left style="double">
        <color theme="8" tint="-0.24994659260841701"/>
      </left>
      <right style="thin">
        <color theme="0"/>
      </right>
      <top/>
      <bottom style="double">
        <color theme="8" tint="-0.24994659260841701"/>
      </bottom>
      <diagonal/>
    </border>
    <border>
      <left style="medium">
        <color theme="8" tint="-0.24994659260841701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8" tint="-0.24994659260841701"/>
      </right>
      <top style="thin">
        <color theme="0"/>
      </top>
      <bottom style="medium">
        <color theme="0"/>
      </bottom>
      <diagonal/>
    </border>
    <border>
      <left style="medium">
        <color theme="8" tint="-0.24994659260841701"/>
      </left>
      <right/>
      <top style="thin">
        <color theme="0"/>
      </top>
      <bottom style="thin">
        <color theme="0"/>
      </bottom>
      <diagonal/>
    </border>
    <border>
      <left/>
      <right style="medium">
        <color theme="8" tint="-0.24994659260841701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theme="8" tint="-0.24994659260841701"/>
      </left>
      <right style="thin">
        <color theme="0"/>
      </right>
      <top/>
      <bottom style="medium">
        <color rgb="FF0070C0"/>
      </bottom>
      <diagonal/>
    </border>
    <border>
      <left style="thin">
        <color theme="0"/>
      </left>
      <right style="thin">
        <color theme="0"/>
      </right>
      <top/>
      <bottom style="medium">
        <color rgb="FF0070C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medium">
        <color rgb="FF0070C0"/>
      </bottom>
      <diagonal/>
    </border>
    <border>
      <left style="thin">
        <color theme="0"/>
      </left>
      <right style="medium">
        <color theme="8" tint="-0.24994659260841701"/>
      </right>
      <top style="medium">
        <color theme="0"/>
      </top>
      <bottom style="medium">
        <color rgb="FF0070C0"/>
      </bottom>
      <diagonal/>
    </border>
    <border>
      <left style="medium">
        <color theme="8" tint="-0.24994659260841701"/>
      </left>
      <right style="thin">
        <color theme="0"/>
      </right>
      <top style="thin">
        <color theme="0"/>
      </top>
      <bottom style="medium">
        <color rgb="FF0070C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rgb="FF0070C0"/>
      </bottom>
      <diagonal/>
    </border>
    <border>
      <left style="thin">
        <color theme="0"/>
      </left>
      <right style="medium">
        <color theme="8" tint="-0.24994659260841701"/>
      </right>
      <top style="thin">
        <color theme="0"/>
      </top>
      <bottom style="medium">
        <color rgb="FF0070C0"/>
      </bottom>
      <diagonal/>
    </border>
  </borders>
  <cellStyleXfs count="2">
    <xf numFmtId="0" fontId="0" fillId="0" borderId="0"/>
    <xf numFmtId="42" fontId="3" fillId="0" borderId="0" applyFont="0" applyFill="0" applyBorder="0" applyAlignment="0" applyProtection="0"/>
  </cellStyleXfs>
  <cellXfs count="195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0" xfId="0" applyFont="1"/>
    <xf numFmtId="0" fontId="1" fillId="0" borderId="0" xfId="0" applyFont="1" applyBorder="1"/>
    <xf numFmtId="164" fontId="0" fillId="0" borderId="0" xfId="1" applyNumberFormat="1" applyFont="1"/>
    <xf numFmtId="0" fontId="1" fillId="0" borderId="0" xfId="0" applyFont="1" applyAlignment="1">
      <alignment horizontal="center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6" fillId="0" borderId="12" xfId="0" applyFont="1" applyBorder="1"/>
    <xf numFmtId="166" fontId="6" fillId="0" borderId="12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applyFont="1" applyBorder="1"/>
    <xf numFmtId="166" fontId="6" fillId="0" borderId="15" xfId="0" applyNumberFormat="1" applyFont="1" applyBorder="1"/>
    <xf numFmtId="0" fontId="7" fillId="0" borderId="15" xfId="0" applyFont="1" applyBorder="1"/>
    <xf numFmtId="0" fontId="6" fillId="0" borderId="15" xfId="0" applyFont="1" applyBorder="1" applyAlignment="1">
      <alignment horizontal="center"/>
    </xf>
    <xf numFmtId="165" fontId="6" fillId="0" borderId="15" xfId="0" applyNumberFormat="1" applyFont="1" applyBorder="1" applyAlignment="1">
      <alignment horizontal="center"/>
    </xf>
    <xf numFmtId="167" fontId="6" fillId="0" borderId="15" xfId="0" applyNumberFormat="1" applyFont="1" applyBorder="1"/>
    <xf numFmtId="3" fontId="6" fillId="0" borderId="15" xfId="0" applyNumberFormat="1" applyFont="1" applyBorder="1" applyAlignment="1">
      <alignment horizontal="center"/>
    </xf>
    <xf numFmtId="166" fontId="6" fillId="0" borderId="18" xfId="0" applyNumberFormat="1" applyFont="1" applyBorder="1"/>
    <xf numFmtId="167" fontId="6" fillId="0" borderId="18" xfId="0" applyNumberFormat="1" applyFont="1" applyBorder="1"/>
    <xf numFmtId="165" fontId="6" fillId="0" borderId="18" xfId="0" applyNumberFormat="1" applyFont="1" applyBorder="1" applyAlignment="1">
      <alignment horizontal="center"/>
    </xf>
    <xf numFmtId="0" fontId="7" fillId="0" borderId="16" xfId="0" applyFont="1" applyBorder="1"/>
    <xf numFmtId="3" fontId="5" fillId="0" borderId="15" xfId="0" applyNumberFormat="1" applyFont="1" applyBorder="1" applyAlignment="1">
      <alignment vertical="center"/>
    </xf>
    <xf numFmtId="0" fontId="6" fillId="0" borderId="19" xfId="0" applyFont="1" applyBorder="1"/>
    <xf numFmtId="167" fontId="6" fillId="0" borderId="12" xfId="0" applyNumberFormat="1" applyFont="1" applyBorder="1"/>
    <xf numFmtId="0" fontId="7" fillId="0" borderId="17" xfId="0" applyFont="1" applyBorder="1"/>
    <xf numFmtId="165" fontId="6" fillId="0" borderId="12" xfId="0" applyNumberFormat="1" applyFont="1" applyBorder="1" applyAlignment="1">
      <alignment horizontal="center"/>
    </xf>
    <xf numFmtId="0" fontId="7" fillId="0" borderId="12" xfId="0" applyFont="1" applyBorder="1"/>
    <xf numFmtId="14" fontId="6" fillId="0" borderId="24" xfId="0" applyNumberFormat="1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165" fontId="6" fillId="0" borderId="13" xfId="0" applyNumberFormat="1" applyFont="1" applyBorder="1" applyAlignment="1">
      <alignment horizontal="center"/>
    </xf>
    <xf numFmtId="166" fontId="6" fillId="0" borderId="25" xfId="0" applyNumberFormat="1" applyFont="1" applyBorder="1"/>
    <xf numFmtId="14" fontId="6" fillId="0" borderId="26" xfId="0" applyNumberFormat="1" applyFont="1" applyBorder="1" applyAlignment="1">
      <alignment horizontal="center"/>
    </xf>
    <xf numFmtId="0" fontId="10" fillId="0" borderId="15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wrapText="1"/>
    </xf>
    <xf numFmtId="3" fontId="8" fillId="3" borderId="30" xfId="0" applyNumberFormat="1" applyFont="1" applyFill="1" applyBorder="1" applyAlignment="1">
      <alignment horizontal="center" vertical="center" shrinkToFit="1"/>
    </xf>
    <xf numFmtId="166" fontId="6" fillId="0" borderId="32" xfId="0" applyNumberFormat="1" applyFont="1" applyBorder="1"/>
    <xf numFmtId="0" fontId="6" fillId="0" borderId="18" xfId="0" applyFont="1" applyBorder="1" applyAlignment="1">
      <alignment horizontal="center"/>
    </xf>
    <xf numFmtId="0" fontId="6" fillId="0" borderId="35" xfId="0" applyFont="1" applyBorder="1"/>
    <xf numFmtId="0" fontId="6" fillId="0" borderId="36" xfId="0" applyFont="1" applyBorder="1"/>
    <xf numFmtId="0" fontId="6" fillId="0" borderId="36" xfId="0" applyFont="1" applyBorder="1" applyAlignment="1">
      <alignment horizontal="center"/>
    </xf>
    <xf numFmtId="165" fontId="6" fillId="0" borderId="36" xfId="0" applyNumberFormat="1" applyFont="1" applyBorder="1" applyAlignment="1">
      <alignment horizontal="center"/>
    </xf>
    <xf numFmtId="166" fontId="6" fillId="0" borderId="36" xfId="0" applyNumberFormat="1" applyFont="1" applyBorder="1"/>
    <xf numFmtId="167" fontId="6" fillId="0" borderId="36" xfId="0" applyNumberFormat="1" applyFont="1" applyBorder="1"/>
    <xf numFmtId="165" fontId="6" fillId="0" borderId="37" xfId="0" applyNumberFormat="1" applyFont="1" applyBorder="1" applyAlignment="1">
      <alignment horizontal="center"/>
    </xf>
    <xf numFmtId="166" fontId="6" fillId="0" borderId="38" xfId="0" applyNumberFormat="1" applyFont="1" applyBorder="1"/>
    <xf numFmtId="0" fontId="10" fillId="0" borderId="19" xfId="0" applyFont="1" applyBorder="1" applyAlignment="1">
      <alignment horizontal="right" indent="1"/>
    </xf>
    <xf numFmtId="0" fontId="12" fillId="0" borderId="12" xfId="0" applyFont="1" applyBorder="1" applyAlignment="1">
      <alignment horizontal="left"/>
    </xf>
    <xf numFmtId="166" fontId="11" fillId="0" borderId="15" xfId="0" applyNumberFormat="1" applyFont="1" applyBorder="1" applyAlignment="1">
      <alignment horizontal="center" vertical="top"/>
    </xf>
    <xf numFmtId="165" fontId="8" fillId="0" borderId="42" xfId="0" applyNumberFormat="1" applyFont="1" applyBorder="1" applyAlignment="1">
      <alignment horizontal="center" vertical="top" wrapText="1"/>
    </xf>
    <xf numFmtId="168" fontId="8" fillId="0" borderId="43" xfId="0" applyNumberFormat="1" applyFont="1" applyBorder="1" applyAlignment="1">
      <alignment horizontal="center" vertical="center" shrinkToFit="1"/>
    </xf>
    <xf numFmtId="0" fontId="10" fillId="0" borderId="19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166" fontId="11" fillId="0" borderId="38" xfId="0" applyNumberFormat="1" applyFont="1" applyBorder="1" applyAlignment="1">
      <alignment vertical="top"/>
    </xf>
    <xf numFmtId="0" fontId="8" fillId="0" borderId="39" xfId="0" applyFont="1" applyBorder="1" applyAlignment="1">
      <alignment horizontal="center"/>
    </xf>
    <xf numFmtId="0" fontId="10" fillId="0" borderId="50" xfId="0" applyFont="1" applyBorder="1" applyAlignment="1">
      <alignment horizontal="right" indent="1"/>
    </xf>
    <xf numFmtId="0" fontId="8" fillId="0" borderId="51" xfId="0" applyFont="1" applyBorder="1" applyAlignment="1">
      <alignment horizontal="right" indent="1"/>
    </xf>
    <xf numFmtId="0" fontId="6" fillId="0" borderId="52" xfId="0" applyFont="1" applyBorder="1" applyAlignment="1">
      <alignment horizontal="center"/>
    </xf>
    <xf numFmtId="0" fontId="7" fillId="0" borderId="51" xfId="0" applyFont="1" applyBorder="1"/>
    <xf numFmtId="0" fontId="7" fillId="0" borderId="20" xfId="0" applyFont="1" applyBorder="1"/>
    <xf numFmtId="166" fontId="6" fillId="0" borderId="53" xfId="0" applyNumberFormat="1" applyFont="1" applyBorder="1"/>
    <xf numFmtId="0" fontId="10" fillId="0" borderId="34" xfId="0" applyFont="1" applyBorder="1" applyAlignment="1">
      <alignment horizontal="right" indent="1"/>
    </xf>
    <xf numFmtId="0" fontId="8" fillId="0" borderId="12" xfId="0" applyFont="1" applyBorder="1" applyAlignment="1">
      <alignment horizontal="right" indent="1"/>
    </xf>
    <xf numFmtId="166" fontId="6" fillId="0" borderId="54" xfId="0" applyNumberFormat="1" applyFont="1" applyBorder="1"/>
    <xf numFmtId="14" fontId="6" fillId="0" borderId="55" xfId="0" applyNumberFormat="1" applyFont="1" applyBorder="1" applyAlignment="1">
      <alignment horizontal="center"/>
    </xf>
    <xf numFmtId="0" fontId="6" fillId="0" borderId="56" xfId="0" applyFont="1" applyBorder="1"/>
    <xf numFmtId="0" fontId="6" fillId="0" borderId="56" xfId="0" applyFont="1" applyBorder="1" applyAlignment="1">
      <alignment horizontal="center"/>
    </xf>
    <xf numFmtId="165" fontId="6" fillId="0" borderId="56" xfId="0" applyNumberFormat="1" applyFont="1" applyBorder="1" applyAlignment="1">
      <alignment horizontal="center"/>
    </xf>
    <xf numFmtId="166" fontId="6" fillId="0" borderId="56" xfId="0" applyNumberFormat="1" applyFont="1" applyBorder="1"/>
    <xf numFmtId="167" fontId="6" fillId="0" borderId="56" xfId="0" applyNumberFormat="1" applyFont="1" applyBorder="1"/>
    <xf numFmtId="165" fontId="6" fillId="0" borderId="57" xfId="0" applyNumberFormat="1" applyFont="1" applyBorder="1" applyAlignment="1">
      <alignment horizontal="center"/>
    </xf>
    <xf numFmtId="166" fontId="6" fillId="0" borderId="58" xfId="0" applyNumberFormat="1" applyFont="1" applyBorder="1"/>
    <xf numFmtId="0" fontId="8" fillId="0" borderId="27" xfId="0" applyFont="1" applyBorder="1" applyAlignment="1" applyProtection="1">
      <alignment horizontal="center" vertical="center" shrinkToFit="1"/>
    </xf>
    <xf numFmtId="0" fontId="0" fillId="0" borderId="59" xfId="0" applyBorder="1"/>
    <xf numFmtId="0" fontId="4" fillId="0" borderId="0" xfId="0" applyFont="1"/>
    <xf numFmtId="0" fontId="6" fillId="0" borderId="18" xfId="0" applyFont="1" applyBorder="1"/>
    <xf numFmtId="14" fontId="6" fillId="0" borderId="16" xfId="0" applyNumberFormat="1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165" fontId="6" fillId="0" borderId="16" xfId="0" applyNumberFormat="1" applyFont="1" applyBorder="1" applyAlignment="1">
      <alignment horizontal="center"/>
    </xf>
    <xf numFmtId="167" fontId="6" fillId="0" borderId="17" xfId="0" applyNumberFormat="1" applyFont="1" applyBorder="1"/>
    <xf numFmtId="0" fontId="7" fillId="0" borderId="65" xfId="0" applyFont="1" applyBorder="1"/>
    <xf numFmtId="0" fontId="7" fillId="0" borderId="66" xfId="0" applyFont="1" applyBorder="1"/>
    <xf numFmtId="0" fontId="5" fillId="0" borderId="19" xfId="0" applyFont="1" applyBorder="1" applyAlignment="1">
      <alignment horizontal="center" vertical="top"/>
    </xf>
    <xf numFmtId="0" fontId="16" fillId="0" borderId="67" xfId="0" applyFont="1" applyBorder="1" applyAlignment="1">
      <alignment horizontal="center"/>
    </xf>
    <xf numFmtId="0" fontId="6" fillId="0" borderId="66" xfId="0" applyFont="1" applyBorder="1"/>
    <xf numFmtId="0" fontId="6" fillId="0" borderId="14" xfId="0" applyFont="1" applyBorder="1" applyAlignment="1">
      <alignment horizontal="center"/>
    </xf>
    <xf numFmtId="0" fontId="6" fillId="0" borderId="84" xfId="0" applyFont="1" applyBorder="1"/>
    <xf numFmtId="0" fontId="6" fillId="0" borderId="20" xfId="0" applyFont="1" applyBorder="1"/>
    <xf numFmtId="14" fontId="5" fillId="0" borderId="85" xfId="0" applyNumberFormat="1" applyFont="1" applyBorder="1" applyAlignment="1">
      <alignment horizontal="center" vertical="center"/>
    </xf>
    <xf numFmtId="0" fontId="5" fillId="0" borderId="86" xfId="0" applyFont="1" applyBorder="1" applyAlignment="1">
      <alignment vertical="center"/>
    </xf>
    <xf numFmtId="0" fontId="5" fillId="0" borderId="87" xfId="0" applyFont="1" applyBorder="1" applyAlignment="1">
      <alignment horizontal="center" vertical="center"/>
    </xf>
    <xf numFmtId="0" fontId="7" fillId="0" borderId="90" xfId="0" applyFont="1" applyBorder="1"/>
    <xf numFmtId="0" fontId="7" fillId="0" borderId="18" xfId="0" applyFont="1" applyBorder="1"/>
    <xf numFmtId="0" fontId="19" fillId="0" borderId="0" xfId="0" applyFont="1" applyBorder="1" applyAlignment="1">
      <alignment horizontal="left"/>
    </xf>
    <xf numFmtId="14" fontId="5" fillId="0" borderId="91" xfId="0" applyNumberFormat="1" applyFont="1" applyBorder="1" applyAlignment="1">
      <alignment horizontal="center" vertical="top"/>
    </xf>
    <xf numFmtId="0" fontId="5" fillId="0" borderId="92" xfId="0" applyFont="1" applyBorder="1" applyAlignment="1">
      <alignment horizontal="center" vertical="top"/>
    </xf>
    <xf numFmtId="0" fontId="5" fillId="0" borderId="93" xfId="0" applyFont="1" applyBorder="1" applyAlignment="1">
      <alignment horizontal="center" vertical="top"/>
    </xf>
    <xf numFmtId="0" fontId="5" fillId="0" borderId="94" xfId="0" applyFont="1" applyBorder="1" applyAlignment="1">
      <alignment horizontal="center" vertical="top"/>
    </xf>
    <xf numFmtId="165" fontId="5" fillId="0" borderId="95" xfId="0" applyNumberFormat="1" applyFont="1" applyBorder="1" applyAlignment="1">
      <alignment horizontal="center" vertical="top"/>
    </xf>
    <xf numFmtId="166" fontId="5" fillId="0" borderId="96" xfId="0" applyNumberFormat="1" applyFont="1" applyBorder="1" applyAlignment="1">
      <alignment horizontal="center" vertical="top"/>
    </xf>
    <xf numFmtId="167" fontId="5" fillId="0" borderId="97" xfId="0" applyNumberFormat="1" applyFont="1" applyBorder="1" applyAlignment="1">
      <alignment horizontal="center" vertical="top"/>
    </xf>
    <xf numFmtId="3" fontId="5" fillId="0" borderId="95" xfId="0" applyNumberFormat="1" applyFont="1" applyBorder="1" applyAlignment="1">
      <alignment horizontal="center" vertical="top"/>
    </xf>
    <xf numFmtId="166" fontId="5" fillId="0" borderId="97" xfId="0" applyNumberFormat="1" applyFont="1" applyBorder="1" applyAlignment="1">
      <alignment horizontal="center" vertical="top"/>
    </xf>
    <xf numFmtId="22" fontId="0" fillId="0" borderId="0" xfId="0" applyNumberFormat="1"/>
    <xf numFmtId="7" fontId="0" fillId="0" borderId="0" xfId="0" applyNumberFormat="1"/>
    <xf numFmtId="0" fontId="5" fillId="0" borderId="39" xfId="0" applyFont="1" applyBorder="1" applyAlignment="1">
      <alignment horizontal="center" shrinkToFit="1"/>
    </xf>
    <xf numFmtId="0" fontId="1" fillId="4" borderId="59" xfId="0" applyFont="1" applyFill="1" applyBorder="1"/>
    <xf numFmtId="14" fontId="20" fillId="0" borderId="26" xfId="0" applyNumberFormat="1" applyFont="1" applyBorder="1" applyAlignment="1">
      <alignment horizontal="center"/>
    </xf>
    <xf numFmtId="0" fontId="20" fillId="0" borderId="33" xfId="0" applyFont="1" applyBorder="1" applyAlignment="1">
      <alignment horizontal="left"/>
    </xf>
    <xf numFmtId="0" fontId="21" fillId="0" borderId="34" xfId="0" applyFont="1" applyBorder="1" applyAlignment="1">
      <alignment horizontal="left"/>
    </xf>
    <xf numFmtId="14" fontId="22" fillId="0" borderId="39" xfId="0" applyNumberFormat="1" applyFont="1" applyBorder="1" applyAlignment="1">
      <alignment horizontal="center"/>
    </xf>
    <xf numFmtId="0" fontId="21" fillId="0" borderId="12" xfId="0" applyFont="1" applyBorder="1" applyAlignment="1">
      <alignment horizontal="left"/>
    </xf>
    <xf numFmtId="0" fontId="20" fillId="0" borderId="15" xfId="0" applyFont="1" applyBorder="1"/>
    <xf numFmtId="166" fontId="11" fillId="0" borderId="27" xfId="0" applyNumberFormat="1" applyFont="1" applyBorder="1" applyAlignment="1">
      <alignment horizontal="center" vertical="top"/>
    </xf>
    <xf numFmtId="166" fontId="11" fillId="0" borderId="41" xfId="0" applyNumberFormat="1" applyFont="1" applyBorder="1" applyAlignment="1">
      <alignment horizontal="center" vertical="top"/>
    </xf>
    <xf numFmtId="168" fontId="8" fillId="3" borderId="28" xfId="0" applyNumberFormat="1" applyFont="1" applyFill="1" applyBorder="1" applyAlignment="1">
      <alignment horizontal="center" vertical="top" shrinkToFit="1"/>
    </xf>
    <xf numFmtId="168" fontId="8" fillId="3" borderId="40" xfId="0" applyNumberFormat="1" applyFont="1" applyFill="1" applyBorder="1" applyAlignment="1">
      <alignment horizontal="center" vertical="top" shrinkToFit="1"/>
    </xf>
    <xf numFmtId="0" fontId="12" fillId="0" borderId="13" xfId="0" applyFont="1" applyBorder="1" applyAlignment="1">
      <alignment horizontal="center" vertical="top"/>
    </xf>
    <xf numFmtId="0" fontId="12" fillId="0" borderId="44" xfId="0" applyFont="1" applyBorder="1" applyAlignment="1">
      <alignment horizontal="center" vertical="top"/>
    </xf>
    <xf numFmtId="0" fontId="12" fillId="0" borderId="45" xfId="0" applyFont="1" applyBorder="1" applyAlignment="1">
      <alignment horizontal="center" vertical="top"/>
    </xf>
    <xf numFmtId="0" fontId="10" fillId="0" borderId="13" xfId="0" applyFont="1" applyBorder="1" applyAlignment="1">
      <alignment horizontal="center"/>
    </xf>
    <xf numFmtId="0" fontId="10" fillId="0" borderId="44" xfId="0" applyFont="1" applyBorder="1" applyAlignment="1">
      <alignment horizontal="center"/>
    </xf>
    <xf numFmtId="0" fontId="10" fillId="0" borderId="45" xfId="0" applyFont="1" applyBorder="1" applyAlignment="1">
      <alignment horizontal="center"/>
    </xf>
    <xf numFmtId="0" fontId="6" fillId="0" borderId="27" xfId="0" applyFont="1" applyBorder="1" applyAlignment="1">
      <alignment horizontal="center" vertical="center" wrapText="1"/>
    </xf>
    <xf numFmtId="0" fontId="6" fillId="0" borderId="46" xfId="0" applyFont="1" applyBorder="1" applyAlignment="1">
      <alignment horizontal="center" vertical="center" wrapText="1"/>
    </xf>
    <xf numFmtId="0" fontId="6" fillId="0" borderId="41" xfId="0" applyFont="1" applyBorder="1" applyAlignment="1">
      <alignment horizontal="center" vertical="center" wrapText="1"/>
    </xf>
    <xf numFmtId="0" fontId="6" fillId="0" borderId="47" xfId="0" applyFont="1" applyBorder="1" applyAlignment="1">
      <alignment horizontal="center" vertical="center" wrapText="1"/>
    </xf>
    <xf numFmtId="0" fontId="6" fillId="0" borderId="48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10" fillId="0" borderId="16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40" xfId="0" applyFont="1" applyBorder="1" applyAlignment="1">
      <alignment horizontal="center"/>
    </xf>
    <xf numFmtId="14" fontId="9" fillId="2" borderId="21" xfId="0" applyNumberFormat="1" applyFont="1" applyFill="1" applyBorder="1" applyAlignment="1">
      <alignment horizontal="left" vertical="center" indent="1"/>
    </xf>
    <xf numFmtId="14" fontId="9" fillId="2" borderId="22" xfId="0" applyNumberFormat="1" applyFont="1" applyFill="1" applyBorder="1" applyAlignment="1">
      <alignment horizontal="left" vertical="center" indent="1"/>
    </xf>
    <xf numFmtId="14" fontId="9" fillId="2" borderId="23" xfId="0" applyNumberFormat="1" applyFont="1" applyFill="1" applyBorder="1" applyAlignment="1">
      <alignment horizontal="left" vertical="center" indent="1"/>
    </xf>
    <xf numFmtId="0" fontId="11" fillId="0" borderId="16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8" fillId="3" borderId="28" xfId="0" applyFont="1" applyFill="1" applyBorder="1" applyAlignment="1">
      <alignment horizontal="center" vertical="center" shrinkToFit="1"/>
    </xf>
    <xf numFmtId="0" fontId="8" fillId="3" borderId="11" xfId="0" applyFont="1" applyFill="1" applyBorder="1" applyAlignment="1">
      <alignment horizontal="center" vertical="center" shrinkToFit="1"/>
    </xf>
    <xf numFmtId="0" fontId="8" fillId="3" borderId="29" xfId="0" applyFont="1" applyFill="1" applyBorder="1" applyAlignment="1">
      <alignment horizontal="center" vertical="center" shrinkToFit="1"/>
    </xf>
    <xf numFmtId="168" fontId="8" fillId="3" borderId="30" xfId="0" applyNumberFormat="1" applyFont="1" applyFill="1" applyBorder="1" applyAlignment="1">
      <alignment horizontal="center" vertical="center" shrinkToFit="1"/>
    </xf>
    <xf numFmtId="168" fontId="8" fillId="3" borderId="31" xfId="0" applyNumberFormat="1" applyFont="1" applyFill="1" applyBorder="1" applyAlignment="1">
      <alignment horizontal="center" vertical="center" shrinkToFit="1"/>
    </xf>
    <xf numFmtId="3" fontId="15" fillId="2" borderId="60" xfId="0" applyNumberFormat="1" applyFont="1" applyFill="1" applyBorder="1" applyAlignment="1">
      <alignment horizontal="center" vertical="center"/>
    </xf>
    <xf numFmtId="3" fontId="15" fillId="2" borderId="61" xfId="0" applyNumberFormat="1" applyFont="1" applyFill="1" applyBorder="1" applyAlignment="1">
      <alignment horizontal="center" vertical="center"/>
    </xf>
    <xf numFmtId="3" fontId="15" fillId="2" borderId="62" xfId="0" applyNumberFormat="1" applyFont="1" applyFill="1" applyBorder="1" applyAlignment="1">
      <alignment horizontal="center" vertical="center"/>
    </xf>
    <xf numFmtId="3" fontId="15" fillId="2" borderId="63" xfId="0" applyNumberFormat="1" applyFont="1" applyFill="1" applyBorder="1" applyAlignment="1">
      <alignment horizontal="center" vertical="center"/>
    </xf>
    <xf numFmtId="3" fontId="15" fillId="2" borderId="64" xfId="0" applyNumberFormat="1" applyFont="1" applyFill="1" applyBorder="1" applyAlignment="1">
      <alignment horizontal="center" vertical="center"/>
    </xf>
    <xf numFmtId="3" fontId="5" fillId="0" borderId="13" xfId="0" applyNumberFormat="1" applyFont="1" applyBorder="1" applyAlignment="1">
      <alignment horizontal="left" vertical="center"/>
    </xf>
    <xf numFmtId="3" fontId="5" fillId="0" borderId="14" xfId="0" applyNumberFormat="1" applyFont="1" applyBorder="1" applyAlignment="1">
      <alignment horizontal="left" vertical="center"/>
    </xf>
    <xf numFmtId="168" fontId="5" fillId="0" borderId="13" xfId="0" applyNumberFormat="1" applyFont="1" applyBorder="1" applyAlignment="1">
      <alignment horizontal="center" vertical="center"/>
    </xf>
    <xf numFmtId="168" fontId="5" fillId="0" borderId="14" xfId="0" applyNumberFormat="1" applyFont="1" applyBorder="1" applyAlignment="1">
      <alignment horizontal="center" vertical="center"/>
    </xf>
    <xf numFmtId="3" fontId="6" fillId="0" borderId="16" xfId="0" applyNumberFormat="1" applyFont="1" applyBorder="1" applyAlignment="1">
      <alignment horizontal="left" vertical="center" indent="1"/>
    </xf>
    <xf numFmtId="3" fontId="6" fillId="0" borderId="17" xfId="0" applyNumberFormat="1" applyFont="1" applyBorder="1" applyAlignment="1">
      <alignment horizontal="left" vertical="center" indent="1"/>
    </xf>
    <xf numFmtId="168" fontId="6" fillId="0" borderId="16" xfId="0" applyNumberFormat="1" applyFont="1" applyBorder="1" applyAlignment="1">
      <alignment horizontal="center" vertical="center"/>
    </xf>
    <xf numFmtId="168" fontId="6" fillId="0" borderId="17" xfId="0" applyNumberFormat="1" applyFont="1" applyBorder="1" applyAlignment="1">
      <alignment horizontal="center" vertical="center"/>
    </xf>
    <xf numFmtId="3" fontId="6" fillId="0" borderId="68" xfId="0" applyNumberFormat="1" applyFont="1" applyBorder="1" applyAlignment="1">
      <alignment horizontal="left" vertical="center" indent="1"/>
    </xf>
    <xf numFmtId="3" fontId="6" fillId="0" borderId="69" xfId="0" applyNumberFormat="1" applyFont="1" applyBorder="1" applyAlignment="1">
      <alignment horizontal="left" vertical="center" indent="1"/>
    </xf>
    <xf numFmtId="168" fontId="6" fillId="0" borderId="70" xfId="0" applyNumberFormat="1" applyFont="1" applyBorder="1" applyAlignment="1">
      <alignment horizontal="center" vertical="center"/>
    </xf>
    <xf numFmtId="168" fontId="6" fillId="0" borderId="71" xfId="0" applyNumberFormat="1" applyFont="1" applyBorder="1" applyAlignment="1">
      <alignment horizontal="center" vertical="center"/>
    </xf>
    <xf numFmtId="3" fontId="17" fillId="2" borderId="72" xfId="0" applyNumberFormat="1" applyFont="1" applyFill="1" applyBorder="1" applyAlignment="1">
      <alignment horizontal="center" vertical="center" wrapText="1"/>
    </xf>
    <xf numFmtId="3" fontId="17" fillId="2" borderId="73" xfId="0" applyNumberFormat="1" applyFont="1" applyFill="1" applyBorder="1" applyAlignment="1">
      <alignment horizontal="center" vertical="center" wrapText="1"/>
    </xf>
    <xf numFmtId="3" fontId="17" fillId="2" borderId="77" xfId="0" applyNumberFormat="1" applyFont="1" applyFill="1" applyBorder="1" applyAlignment="1">
      <alignment horizontal="center" vertical="center" wrapText="1"/>
    </xf>
    <xf numFmtId="3" fontId="17" fillId="2" borderId="78" xfId="0" applyNumberFormat="1" applyFont="1" applyFill="1" applyBorder="1" applyAlignment="1">
      <alignment horizontal="center" vertical="center" wrapText="1"/>
    </xf>
    <xf numFmtId="165" fontId="8" fillId="0" borderId="74" xfId="0" applyNumberFormat="1" applyFont="1" applyBorder="1" applyAlignment="1">
      <alignment horizontal="center" vertical="center" wrapText="1"/>
    </xf>
    <xf numFmtId="165" fontId="8" fillId="0" borderId="79" xfId="0" applyNumberFormat="1" applyFont="1" applyBorder="1" applyAlignment="1">
      <alignment horizontal="center" vertical="center" wrapText="1"/>
    </xf>
    <xf numFmtId="3" fontId="5" fillId="0" borderId="75" xfId="0" applyNumberFormat="1" applyFont="1" applyBorder="1" applyAlignment="1">
      <alignment horizontal="left" vertical="center"/>
    </xf>
    <xf numFmtId="3" fontId="5" fillId="0" borderId="76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89" xfId="0" applyFont="1" applyBorder="1" applyAlignment="1">
      <alignment horizontal="center"/>
    </xf>
    <xf numFmtId="3" fontId="5" fillId="0" borderId="80" xfId="0" applyNumberFormat="1" applyFont="1" applyBorder="1" applyAlignment="1">
      <alignment horizontal="left" vertical="center"/>
    </xf>
    <xf numFmtId="3" fontId="5" fillId="0" borderId="81" xfId="0" applyNumberFormat="1" applyFont="1" applyBorder="1" applyAlignment="1">
      <alignment horizontal="left" vertical="center"/>
    </xf>
    <xf numFmtId="168" fontId="5" fillId="0" borderId="80" xfId="0" applyNumberFormat="1" applyFont="1" applyBorder="1" applyAlignment="1">
      <alignment horizontal="center" vertical="center"/>
    </xf>
    <xf numFmtId="168" fontId="5" fillId="0" borderId="81" xfId="0" applyNumberFormat="1" applyFont="1" applyBorder="1" applyAlignment="1">
      <alignment horizontal="center" vertical="center"/>
    </xf>
    <xf numFmtId="3" fontId="5" fillId="0" borderId="82" xfId="0" applyNumberFormat="1" applyFont="1" applyBorder="1" applyAlignment="1">
      <alignment horizontal="left" vertical="center"/>
    </xf>
    <xf numFmtId="3" fontId="5" fillId="0" borderId="83" xfId="0" applyNumberFormat="1" applyFont="1" applyBorder="1" applyAlignment="1">
      <alignment horizontal="left" vertical="center"/>
    </xf>
    <xf numFmtId="169" fontId="18" fillId="0" borderId="82" xfId="0" applyNumberFormat="1" applyFont="1" applyBorder="1" applyAlignment="1">
      <alignment horizontal="center" vertical="center"/>
    </xf>
    <xf numFmtId="169" fontId="18" fillId="0" borderId="83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Border="1" applyAlignment="1">
      <alignment horizontal="center" vertical="center" wrapText="1"/>
    </xf>
    <xf numFmtId="22" fontId="0" fillId="0" borderId="0" xfId="0" applyNumberFormat="1" applyAlignment="1">
      <alignment horizontal="left"/>
    </xf>
    <xf numFmtId="0" fontId="4" fillId="0" borderId="0" xfId="0" applyFont="1" applyAlignment="1">
      <alignment horizontal="left"/>
    </xf>
    <xf numFmtId="0" fontId="1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1" fillId="0" borderId="5" xfId="0" applyFont="1" applyBorder="1" applyAlignment="1">
      <alignment horizontal="center" vertical="top"/>
    </xf>
    <xf numFmtId="0" fontId="0" fillId="0" borderId="0" xfId="0" applyAlignment="1">
      <alignment wrapText="1"/>
    </xf>
    <xf numFmtId="165" fontId="5" fillId="0" borderId="15" xfId="0" applyNumberFormat="1" applyFont="1" applyBorder="1" applyAlignment="1">
      <alignment horizontal="center" vertical="top"/>
    </xf>
  </cellXfs>
  <cellStyles count="2">
    <cellStyle name="Moneda [0]" xfId="1" builtinId="7"/>
    <cellStyle name="Normal" xfId="0" builtinId="0"/>
  </cellStyles>
  <dxfs count="13">
    <dxf>
      <font>
        <color theme="0"/>
      </font>
    </dxf>
    <dxf>
      <font>
        <b/>
        <i val="0"/>
        <color theme="0"/>
      </font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ECF0F8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423862</xdr:colOff>
      <xdr:row>4</xdr:row>
      <xdr:rowOff>1</xdr:rowOff>
    </xdr:from>
    <xdr:to>
      <xdr:col>13</xdr:col>
      <xdr:colOff>339862</xdr:colOff>
      <xdr:row>6</xdr:row>
      <xdr:rowOff>69001</xdr:rowOff>
    </xdr:to>
    <xdr:sp macro="[0]!crearProducto" textlink="">
      <xdr:nvSpPr>
        <xdr:cNvPr id="2" name="Rectángulo 1"/>
        <xdr:cNvSpPr/>
      </xdr:nvSpPr>
      <xdr:spPr>
        <a:xfrm>
          <a:off x="8043862" y="771526"/>
          <a:ext cx="1440000" cy="4500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 i="0"/>
            <a:t>REGISTRAR</a:t>
          </a:r>
          <a:r>
            <a:rPr lang="es-CO" sz="1100" b="1" i="0" baseline="0"/>
            <a:t> PRODUCTO</a:t>
          </a:r>
          <a:endParaRPr lang="es-CO" sz="1100" b="1" i="0"/>
        </a:p>
      </xdr:txBody>
    </xdr:sp>
    <xdr:clientData/>
  </xdr:twoCellAnchor>
  <xdr:twoCellAnchor>
    <xdr:from>
      <xdr:col>11</xdr:col>
      <xdr:colOff>423862</xdr:colOff>
      <xdr:row>7</xdr:row>
      <xdr:rowOff>104775</xdr:rowOff>
    </xdr:from>
    <xdr:to>
      <xdr:col>13</xdr:col>
      <xdr:colOff>339862</xdr:colOff>
      <xdr:row>9</xdr:row>
      <xdr:rowOff>173775</xdr:rowOff>
    </xdr:to>
    <xdr:sp macro="[0]!editarProducto" textlink="">
      <xdr:nvSpPr>
        <xdr:cNvPr id="3" name="Rectángulo 2"/>
        <xdr:cNvSpPr/>
      </xdr:nvSpPr>
      <xdr:spPr>
        <a:xfrm>
          <a:off x="8043862" y="1447800"/>
          <a:ext cx="1440000" cy="4500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EDITAR/ELIMINAR</a:t>
          </a:r>
          <a:r>
            <a:rPr lang="es-CO" sz="1100" b="1" baseline="0"/>
            <a:t> PRODUCTO</a:t>
          </a:r>
          <a:endParaRPr lang="es-CO" sz="1100" b="1"/>
        </a:p>
      </xdr:txBody>
    </xdr:sp>
    <xdr:clientData/>
  </xdr:twoCellAnchor>
  <xdr:twoCellAnchor>
    <xdr:from>
      <xdr:col>4</xdr:col>
      <xdr:colOff>285750</xdr:colOff>
      <xdr:row>7</xdr:row>
      <xdr:rowOff>28575</xdr:rowOff>
    </xdr:from>
    <xdr:to>
      <xdr:col>4</xdr:col>
      <xdr:colOff>600075</xdr:colOff>
      <xdr:row>13</xdr:row>
      <xdr:rowOff>257174</xdr:rowOff>
    </xdr:to>
    <xdr:sp macro="" textlink="">
      <xdr:nvSpPr>
        <xdr:cNvPr id="13" name="Cheurón 12"/>
        <xdr:cNvSpPr/>
      </xdr:nvSpPr>
      <xdr:spPr>
        <a:xfrm>
          <a:off x="4114800" y="1285875"/>
          <a:ext cx="314325" cy="1466849"/>
        </a:xfrm>
        <a:prstGeom prst="chevron">
          <a:avLst/>
        </a:prstGeom>
        <a:ln w="3175">
          <a:solidFill>
            <a:schemeClr val="accent5">
              <a:lumMod val="5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104775</xdr:colOff>
      <xdr:row>7</xdr:row>
      <xdr:rowOff>29011</xdr:rowOff>
    </xdr:from>
    <xdr:to>
      <xdr:col>4</xdr:col>
      <xdr:colOff>361950</xdr:colOff>
      <xdr:row>13</xdr:row>
      <xdr:rowOff>246404</xdr:rowOff>
    </xdr:to>
    <xdr:sp macro="" textlink="">
      <xdr:nvSpPr>
        <xdr:cNvPr id="14" name="Pentágono 13"/>
        <xdr:cNvSpPr/>
      </xdr:nvSpPr>
      <xdr:spPr>
        <a:xfrm>
          <a:off x="3933825" y="1286311"/>
          <a:ext cx="257175" cy="1455643"/>
        </a:xfrm>
        <a:prstGeom prst="homePlate">
          <a:avLst/>
        </a:prstGeom>
        <a:ln w="3175">
          <a:solidFill>
            <a:schemeClr val="accent5">
              <a:lumMod val="5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590550</xdr:colOff>
      <xdr:row>15</xdr:row>
      <xdr:rowOff>114300</xdr:rowOff>
    </xdr:from>
    <xdr:to>
      <xdr:col>8</xdr:col>
      <xdr:colOff>485775</xdr:colOff>
      <xdr:row>16</xdr:row>
      <xdr:rowOff>104775</xdr:rowOff>
    </xdr:to>
    <xdr:sp macro="[0]!registrarMovimiento" textlink="">
      <xdr:nvSpPr>
        <xdr:cNvPr id="15" name="Rectángulo 14"/>
        <xdr:cNvSpPr/>
      </xdr:nvSpPr>
      <xdr:spPr>
        <a:xfrm>
          <a:off x="5972175" y="2990850"/>
          <a:ext cx="1905000" cy="2571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latin typeface="Arial" panose="020B0604020202020204" pitchFamily="34" charset="0"/>
              <a:cs typeface="Arial" panose="020B0604020202020204" pitchFamily="34" charset="0"/>
            </a:rPr>
            <a:t>Registrar Movimiento</a:t>
          </a:r>
          <a:endParaRPr lang="es-CO" sz="105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9525</xdr:colOff>
      <xdr:row>4</xdr:row>
      <xdr:rowOff>247650</xdr:rowOff>
    </xdr:from>
    <xdr:to>
      <xdr:col>2</xdr:col>
      <xdr:colOff>1200150</xdr:colOff>
      <xdr:row>5</xdr:row>
      <xdr:rowOff>180975</xdr:rowOff>
    </xdr:to>
    <xdr:sp macro="[0]!seleccionProducto" textlink="">
      <xdr:nvSpPr>
        <xdr:cNvPr id="5" name="Rectángulo 4"/>
        <xdr:cNvSpPr/>
      </xdr:nvSpPr>
      <xdr:spPr>
        <a:xfrm>
          <a:off x="485775" y="1066800"/>
          <a:ext cx="1190625" cy="19050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 CÓDIGO</a:t>
          </a:r>
        </a:p>
      </xdr:txBody>
    </xdr:sp>
    <xdr:clientData/>
  </xdr:twoCellAnchor>
  <xdr:twoCellAnchor>
    <xdr:from>
      <xdr:col>11</xdr:col>
      <xdr:colOff>352425</xdr:colOff>
      <xdr:row>14</xdr:row>
      <xdr:rowOff>47625</xdr:rowOff>
    </xdr:from>
    <xdr:to>
      <xdr:col>13</xdr:col>
      <xdr:colOff>533400</xdr:colOff>
      <xdr:row>16</xdr:row>
      <xdr:rowOff>76200</xdr:rowOff>
    </xdr:to>
    <xdr:sp macro="[0]!crearCliente" textlink="">
      <xdr:nvSpPr>
        <xdr:cNvPr id="4" name="Rectángulo redondeado 3"/>
        <xdr:cNvSpPr/>
      </xdr:nvSpPr>
      <xdr:spPr>
        <a:xfrm>
          <a:off x="9734550" y="3114675"/>
          <a:ext cx="1704975" cy="43815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REGISTRAR CLIENTES</a:t>
          </a:r>
        </a:p>
      </xdr:txBody>
    </xdr:sp>
    <xdr:clientData/>
  </xdr:twoCellAnchor>
  <xdr:twoCellAnchor>
    <xdr:from>
      <xdr:col>11</xdr:col>
      <xdr:colOff>342900</xdr:colOff>
      <xdr:row>17</xdr:row>
      <xdr:rowOff>9525</xdr:rowOff>
    </xdr:from>
    <xdr:to>
      <xdr:col>13</xdr:col>
      <xdr:colOff>523875</xdr:colOff>
      <xdr:row>19</xdr:row>
      <xdr:rowOff>66675</xdr:rowOff>
    </xdr:to>
    <xdr:sp macro="[0]!editarCliente" textlink="">
      <xdr:nvSpPr>
        <xdr:cNvPr id="12" name="Rectángulo redondeado 11"/>
        <xdr:cNvSpPr/>
      </xdr:nvSpPr>
      <xdr:spPr>
        <a:xfrm>
          <a:off x="9725025" y="3686175"/>
          <a:ext cx="1704975" cy="4381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EDITAR</a:t>
          </a:r>
          <a:r>
            <a:rPr lang="es-CO" sz="1100" b="1" baseline="0"/>
            <a:t> </a:t>
          </a:r>
          <a:r>
            <a:rPr lang="es-CO" sz="1100" b="1"/>
            <a:t>CLIENTES</a:t>
          </a:r>
        </a:p>
      </xdr:txBody>
    </xdr:sp>
    <xdr:clientData/>
  </xdr:twoCellAnchor>
  <xdr:twoCellAnchor>
    <xdr:from>
      <xdr:col>3</xdr:col>
      <xdr:colOff>590550</xdr:colOff>
      <xdr:row>18</xdr:row>
      <xdr:rowOff>57150</xdr:rowOff>
    </xdr:from>
    <xdr:to>
      <xdr:col>6</xdr:col>
      <xdr:colOff>1171575</xdr:colOff>
      <xdr:row>20</xdr:row>
      <xdr:rowOff>0</xdr:rowOff>
    </xdr:to>
    <xdr:sp macro="[0]!venta" textlink="">
      <xdr:nvSpPr>
        <xdr:cNvPr id="6" name="Rectángulo redondeado 5"/>
        <xdr:cNvSpPr/>
      </xdr:nvSpPr>
      <xdr:spPr>
        <a:xfrm>
          <a:off x="2276475" y="3924300"/>
          <a:ext cx="4410075" cy="3333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NUEVA</a:t>
          </a:r>
          <a:r>
            <a:rPr lang="es-CO" sz="1100" b="1" baseline="0"/>
            <a:t> VENTA</a:t>
          </a:r>
          <a:endParaRPr lang="es-CO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1543050</xdr:colOff>
          <xdr:row>1</xdr:row>
          <xdr:rowOff>0</xdr:rowOff>
        </xdr:from>
        <xdr:to>
          <xdr:col>8</xdr:col>
          <xdr:colOff>752475</xdr:colOff>
          <xdr:row>2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MOSTRAR CLIENTES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yeinercq\Desktop\control-de-inventari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"/>
      <sheetName val="Instrucciones"/>
      <sheetName val="BD PRODUCTOS"/>
      <sheetName val="Tabla"/>
      <sheetName val="CONTROL INVENTARIO"/>
      <sheetName val="1"/>
      <sheetName val="control-de-invent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N20"/>
  <sheetViews>
    <sheetView showGridLines="0" tabSelected="1" workbookViewId="0">
      <selection activeCell="F9" sqref="F9"/>
    </sheetView>
  </sheetViews>
  <sheetFormatPr baseColWidth="10" defaultRowHeight="15" x14ac:dyDescent="0.25"/>
  <cols>
    <col min="1" max="1" width="2.28515625" customWidth="1"/>
    <col min="2" max="2" width="4.85546875" customWidth="1"/>
    <col min="3" max="3" width="18.140625" customWidth="1"/>
    <col min="4" max="4" width="36.140625" customWidth="1"/>
    <col min="5" max="5" width="9.85546875" customWidth="1"/>
    <col min="7" max="7" width="20.140625" customWidth="1"/>
    <col min="9" max="9" width="11.42578125" customWidth="1"/>
    <col min="10" max="10" width="3.5703125" customWidth="1"/>
    <col min="11" max="11" width="11.42578125" customWidth="1"/>
  </cols>
  <sheetData>
    <row r="1" spans="1:14" ht="9.9499999999999993" customHeight="1" thickBot="1" x14ac:dyDescent="0.3">
      <c r="A1" s="193" t="s">
        <v>67</v>
      </c>
    </row>
    <row r="2" spans="1:14" ht="15.75" x14ac:dyDescent="0.25">
      <c r="B2" s="137" t="s">
        <v>23</v>
      </c>
      <c r="C2" s="138"/>
      <c r="D2" s="138"/>
      <c r="E2" s="138"/>
      <c r="F2" s="138"/>
      <c r="G2" s="138"/>
      <c r="H2" s="138"/>
      <c r="I2" s="138"/>
      <c r="J2" s="139"/>
    </row>
    <row r="3" spans="1:14" ht="15.75" thickBot="1" x14ac:dyDescent="0.3">
      <c r="B3" s="33"/>
      <c r="C3" s="13"/>
      <c r="D3" s="13"/>
      <c r="E3" s="34"/>
      <c r="F3" s="31"/>
      <c r="G3" s="14"/>
      <c r="H3" s="29"/>
      <c r="I3" s="35"/>
      <c r="J3" s="36"/>
    </row>
    <row r="4" spans="1:14" ht="23.25" x14ac:dyDescent="0.25">
      <c r="B4" s="37"/>
      <c r="C4" s="38" t="s">
        <v>21</v>
      </c>
      <c r="D4" s="140" t="s">
        <v>22</v>
      </c>
      <c r="E4" s="141"/>
      <c r="F4" s="142"/>
      <c r="G4" s="39" t="s">
        <v>24</v>
      </c>
      <c r="H4" s="143" t="s">
        <v>25</v>
      </c>
      <c r="I4" s="144"/>
      <c r="J4" s="36"/>
      <c r="L4" s="190" t="s">
        <v>64</v>
      </c>
      <c r="M4" s="191"/>
      <c r="N4" s="192"/>
    </row>
    <row r="5" spans="1:14" ht="20.25" customHeight="1" x14ac:dyDescent="0.25">
      <c r="B5" s="37"/>
      <c r="C5" s="77"/>
      <c r="D5" s="145"/>
      <c r="E5" s="146"/>
      <c r="F5" s="147"/>
      <c r="G5" s="40"/>
      <c r="H5" s="148"/>
      <c r="I5" s="149"/>
      <c r="J5" s="41"/>
      <c r="L5" s="7"/>
      <c r="M5" s="8"/>
      <c r="N5" s="9"/>
    </row>
    <row r="6" spans="1:14" ht="15.75" thickBot="1" x14ac:dyDescent="0.3">
      <c r="B6" s="112"/>
      <c r="C6" s="113"/>
      <c r="D6" s="114"/>
      <c r="E6" s="42"/>
      <c r="F6" s="25"/>
      <c r="G6" s="23"/>
      <c r="H6" s="24"/>
      <c r="I6" s="25"/>
      <c r="J6" s="41"/>
      <c r="L6" s="7"/>
      <c r="M6" s="8"/>
      <c r="N6" s="9"/>
    </row>
    <row r="7" spans="1:14" ht="15.75" thickTop="1" x14ac:dyDescent="0.25">
      <c r="B7" s="37"/>
      <c r="C7" s="43"/>
      <c r="D7" s="44"/>
      <c r="E7" s="45"/>
      <c r="F7" s="46"/>
      <c r="G7" s="47"/>
      <c r="H7" s="48"/>
      <c r="I7" s="49"/>
      <c r="J7" s="50"/>
      <c r="L7" s="7"/>
      <c r="M7" s="8"/>
      <c r="N7" s="9"/>
    </row>
    <row r="8" spans="1:14" ht="16.5" customHeight="1" x14ac:dyDescent="0.25">
      <c r="A8" s="5"/>
      <c r="B8" s="37"/>
      <c r="C8" s="51" t="s">
        <v>18</v>
      </c>
      <c r="D8" s="110" t="s">
        <v>19</v>
      </c>
      <c r="E8" s="19"/>
      <c r="F8" s="134"/>
      <c r="G8" s="135"/>
      <c r="H8" s="135"/>
      <c r="I8" s="136"/>
      <c r="J8" s="50"/>
      <c r="L8" s="7"/>
      <c r="M8" s="8"/>
      <c r="N8" s="9"/>
    </row>
    <row r="9" spans="1:14" ht="16.5" customHeight="1" x14ac:dyDescent="0.25">
      <c r="B9" s="37"/>
      <c r="C9" s="28"/>
      <c r="D9" s="52" t="s">
        <v>26</v>
      </c>
      <c r="E9" s="19"/>
      <c r="F9" s="194" t="s">
        <v>27</v>
      </c>
      <c r="G9" s="53" t="s">
        <v>28</v>
      </c>
      <c r="H9" s="118" t="s">
        <v>29</v>
      </c>
      <c r="I9" s="119"/>
      <c r="J9" s="50"/>
      <c r="L9" s="7"/>
      <c r="M9" s="8"/>
      <c r="N9" s="9"/>
    </row>
    <row r="10" spans="1:14" ht="20.25" x14ac:dyDescent="0.25">
      <c r="B10" s="37"/>
      <c r="C10" s="28"/>
      <c r="D10" s="16"/>
      <c r="E10" s="19"/>
      <c r="F10" s="54">
        <v>100</v>
      </c>
      <c r="G10" s="55">
        <v>127000</v>
      </c>
      <c r="H10" s="120">
        <f>F10*G10</f>
        <v>12700000</v>
      </c>
      <c r="I10" s="121"/>
      <c r="J10" s="50"/>
      <c r="L10" s="7"/>
      <c r="M10" s="8"/>
      <c r="N10" s="9"/>
    </row>
    <row r="11" spans="1:14" ht="21" thickBot="1" x14ac:dyDescent="0.35">
      <c r="B11" s="37"/>
      <c r="C11" s="56" t="s">
        <v>17</v>
      </c>
      <c r="D11" s="115"/>
      <c r="E11" s="15"/>
      <c r="F11" s="122" t="s">
        <v>30</v>
      </c>
      <c r="G11" s="123"/>
      <c r="H11" s="123"/>
      <c r="I11" s="124"/>
      <c r="J11" s="50"/>
      <c r="L11" s="10"/>
      <c r="M11" s="11"/>
      <c r="N11" s="12"/>
    </row>
    <row r="12" spans="1:14" x14ac:dyDescent="0.25">
      <c r="B12" s="37"/>
      <c r="C12" s="57" t="s">
        <v>31</v>
      </c>
      <c r="D12" s="116" t="s">
        <v>32</v>
      </c>
      <c r="E12" s="19"/>
      <c r="F12" s="125" t="s">
        <v>20</v>
      </c>
      <c r="G12" s="126"/>
      <c r="H12" s="126"/>
      <c r="I12" s="127"/>
      <c r="J12" s="58"/>
      <c r="L12" s="8"/>
      <c r="M12" s="8"/>
      <c r="N12" s="8"/>
    </row>
    <row r="13" spans="1:14" ht="15.75" thickBot="1" x14ac:dyDescent="0.3">
      <c r="B13" s="37"/>
      <c r="C13" s="28"/>
      <c r="D13" s="117"/>
      <c r="E13" s="19"/>
      <c r="F13" s="128" t="s">
        <v>38</v>
      </c>
      <c r="G13" s="129"/>
      <c r="H13" s="129"/>
      <c r="I13" s="130"/>
      <c r="J13" s="50"/>
    </row>
    <row r="14" spans="1:14" ht="20.25" x14ac:dyDescent="0.3">
      <c r="B14" s="37"/>
      <c r="C14" s="51" t="s">
        <v>33</v>
      </c>
      <c r="D14" s="59"/>
      <c r="E14" s="19"/>
      <c r="F14" s="131"/>
      <c r="G14" s="132"/>
      <c r="H14" s="132"/>
      <c r="I14" s="133"/>
      <c r="J14" s="50"/>
      <c r="L14" s="190" t="s">
        <v>65</v>
      </c>
      <c r="M14" s="191"/>
      <c r="N14" s="192"/>
    </row>
    <row r="15" spans="1:14" ht="11.25" customHeight="1" thickBot="1" x14ac:dyDescent="0.35">
      <c r="B15" s="37"/>
      <c r="C15" s="60"/>
      <c r="D15" s="61"/>
      <c r="E15" s="62"/>
      <c r="F15" s="63"/>
      <c r="G15" s="63"/>
      <c r="H15" s="63"/>
      <c r="I15" s="64"/>
      <c r="J15" s="65"/>
      <c r="L15" s="7"/>
      <c r="M15" s="8"/>
      <c r="N15" s="9"/>
    </row>
    <row r="16" spans="1:14" ht="21" thickTop="1" x14ac:dyDescent="0.3">
      <c r="B16" s="37"/>
      <c r="C16" s="66"/>
      <c r="D16" s="67"/>
      <c r="E16" s="34"/>
      <c r="F16" s="32"/>
      <c r="G16" s="32"/>
      <c r="H16" s="32"/>
      <c r="I16" s="32"/>
      <c r="J16" s="68"/>
      <c r="L16" s="7"/>
      <c r="M16" s="8"/>
      <c r="N16" s="9"/>
    </row>
    <row r="17" spans="2:14" ht="15.75" thickBot="1" x14ac:dyDescent="0.3">
      <c r="B17" s="69"/>
      <c r="C17" s="70"/>
      <c r="D17" s="70"/>
      <c r="E17" s="71"/>
      <c r="F17" s="72"/>
      <c r="G17" s="73"/>
      <c r="H17" s="74"/>
      <c r="I17" s="75"/>
      <c r="J17" s="76"/>
      <c r="L17" s="7"/>
      <c r="M17" s="8"/>
      <c r="N17" s="9"/>
    </row>
    <row r="18" spans="2:14" x14ac:dyDescent="0.25">
      <c r="L18" s="7"/>
      <c r="M18" s="8"/>
      <c r="N18" s="9"/>
    </row>
    <row r="19" spans="2:14" x14ac:dyDescent="0.25">
      <c r="L19" s="7"/>
      <c r="M19" s="8"/>
      <c r="N19" s="9"/>
    </row>
    <row r="20" spans="2:14" ht="15.75" thickBot="1" x14ac:dyDescent="0.3">
      <c r="L20" s="10"/>
      <c r="M20" s="11"/>
      <c r="N20" s="12"/>
    </row>
  </sheetData>
  <mergeCells count="13">
    <mergeCell ref="B2:J2"/>
    <mergeCell ref="D4:F4"/>
    <mergeCell ref="H4:I4"/>
    <mergeCell ref="D5:F5"/>
    <mergeCell ref="H5:I5"/>
    <mergeCell ref="L4:N4"/>
    <mergeCell ref="L14:N14"/>
    <mergeCell ref="H9:I9"/>
    <mergeCell ref="H10:I10"/>
    <mergeCell ref="F11:I11"/>
    <mergeCell ref="F12:I12"/>
    <mergeCell ref="F13:I14"/>
    <mergeCell ref="F8:I8"/>
  </mergeCells>
  <conditionalFormatting sqref="D9">
    <cfRule type="expression" dxfId="12" priority="4">
      <formula>$D$10&lt;&gt;""</formula>
    </cfRule>
  </conditionalFormatting>
  <conditionalFormatting sqref="D12">
    <cfRule type="expression" dxfId="11" priority="3">
      <formula>$D$13&lt;&gt;""</formula>
    </cfRule>
  </conditionalFormatting>
  <conditionalFormatting sqref="F11:I11">
    <cfRule type="expression" dxfId="10" priority="2">
      <formula>$H$12&lt;&gt;0</formula>
    </cfRule>
  </conditionalFormatting>
  <conditionalFormatting sqref="D6">
    <cfRule type="expression" dxfId="9" priority="5">
      <formula>$C$7&lt;&gt;""</formula>
    </cfRule>
  </conditionalFormatting>
  <conditionalFormatting sqref="G5:I5">
    <cfRule type="containsErrors" dxfId="8" priority="6">
      <formula>ISERROR(G5)</formula>
    </cfRule>
  </conditionalFormatting>
  <conditionalFormatting sqref="C6">
    <cfRule type="expression" dxfId="7" priority="1">
      <formula>$C$7&lt;&gt;""</formula>
    </cfRule>
  </conditionalFormatting>
  <dataValidations disablePrompts="1" count="2">
    <dataValidation type="date" allowBlank="1" showInputMessage="1" showErrorMessage="1" sqref="D11">
      <formula1>29221</formula1>
      <formula2>73051</formula2>
    </dataValidation>
    <dataValidation type="list" allowBlank="1" showInputMessage="1" showErrorMessage="1" sqref="D8">
      <formula1>MOVIMIENTO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O1000"/>
  <sheetViews>
    <sheetView zoomScaleNormal="100" workbookViewId="0">
      <pane ySplit="13" topLeftCell="A14" activePane="bottomLeft" state="frozen"/>
      <selection pane="bottomLeft" activeCell="A8" sqref="A8"/>
    </sheetView>
  </sheetViews>
  <sheetFormatPr baseColWidth="10" defaultRowHeight="15" x14ac:dyDescent="0.25"/>
  <cols>
    <col min="1" max="1" width="17.140625" bestFit="1" customWidth="1"/>
    <col min="2" max="2" width="11.5703125" bestFit="1" customWidth="1"/>
    <col min="3" max="3" width="37.42578125" bestFit="1" customWidth="1"/>
    <col min="4" max="4" width="14.85546875" bestFit="1" customWidth="1"/>
    <col min="5" max="5" width="7.42578125" customWidth="1"/>
    <col min="6" max="6" width="12.5703125" bestFit="1" customWidth="1"/>
    <col min="7" max="7" width="15.5703125" customWidth="1"/>
    <col min="8" max="8" width="7.42578125" customWidth="1"/>
    <col min="9" max="9" width="12.5703125" bestFit="1" customWidth="1"/>
    <col min="10" max="10" width="14.85546875" bestFit="1" customWidth="1"/>
    <col min="11" max="11" width="7.42578125" customWidth="1"/>
    <col min="12" max="12" width="12.140625" customWidth="1"/>
    <col min="13" max="13" width="15.5703125" customWidth="1"/>
    <col min="14" max="14" width="1.28515625" style="98" customWidth="1"/>
    <col min="15" max="15" width="11.42578125" style="98" hidden="1" customWidth="1"/>
    <col min="16" max="16384" width="11.42578125" style="98"/>
  </cols>
  <sheetData>
    <row r="1" spans="1:15" s="18" customFormat="1" ht="6.75" customHeight="1" x14ac:dyDescent="0.2">
      <c r="A1" s="15"/>
      <c r="B1" s="16"/>
      <c r="C1" s="16"/>
      <c r="D1" s="19"/>
      <c r="E1" s="20"/>
      <c r="F1" s="17"/>
      <c r="G1" s="21"/>
      <c r="H1" s="20"/>
      <c r="I1" s="17"/>
      <c r="J1" s="21"/>
      <c r="K1" s="22"/>
      <c r="L1" s="17"/>
      <c r="M1" s="17"/>
    </row>
    <row r="2" spans="1:15" s="18" customFormat="1" ht="6.75" customHeight="1" thickBot="1" x14ac:dyDescent="0.25">
      <c r="A2" s="15"/>
      <c r="B2" s="80"/>
      <c r="C2" s="80"/>
      <c r="D2" s="19"/>
      <c r="E2" s="20"/>
      <c r="F2" s="23"/>
      <c r="G2" s="24"/>
      <c r="H2" s="25"/>
      <c r="I2" s="23"/>
      <c r="J2" s="21"/>
      <c r="K2" s="22"/>
      <c r="L2" s="17"/>
      <c r="M2" s="17"/>
    </row>
    <row r="3" spans="1:15" s="18" customFormat="1" ht="12.75" customHeight="1" thickTop="1" thickBot="1" x14ac:dyDescent="0.25">
      <c r="A3" s="81"/>
      <c r="B3" s="150" t="s">
        <v>39</v>
      </c>
      <c r="C3" s="151"/>
      <c r="D3" s="82"/>
      <c r="E3" s="83"/>
      <c r="F3" s="152" t="s">
        <v>40</v>
      </c>
      <c r="G3" s="153"/>
      <c r="H3" s="153"/>
      <c r="I3" s="154"/>
      <c r="J3" s="84"/>
      <c r="K3" s="22"/>
      <c r="L3" s="17"/>
      <c r="M3" s="17"/>
    </row>
    <row r="4" spans="1:15" s="18" customFormat="1" ht="12.75" thickTop="1" x14ac:dyDescent="0.2">
      <c r="A4" s="26"/>
      <c r="B4" s="85"/>
      <c r="C4" s="86"/>
      <c r="D4" s="82"/>
      <c r="F4" s="155" t="s">
        <v>41</v>
      </c>
      <c r="G4" s="156"/>
      <c r="H4" s="157">
        <f>M14</f>
        <v>0</v>
      </c>
      <c r="I4" s="158"/>
      <c r="J4" s="21"/>
      <c r="K4" s="22"/>
      <c r="L4" s="17"/>
      <c r="M4" s="17"/>
      <c r="N4" s="27"/>
    </row>
    <row r="5" spans="1:15" s="18" customFormat="1" ht="15.75" x14ac:dyDescent="0.25">
      <c r="A5" s="81"/>
      <c r="B5" s="87" t="s">
        <v>21</v>
      </c>
      <c r="C5" s="88">
        <v>2</v>
      </c>
      <c r="D5" s="82"/>
      <c r="F5" s="159" t="s">
        <v>42</v>
      </c>
      <c r="G5" s="160"/>
      <c r="H5" s="161">
        <f>SUM(G14:G1000)</f>
        <v>0</v>
      </c>
      <c r="I5" s="162"/>
      <c r="J5" s="21"/>
      <c r="K5" s="22"/>
      <c r="L5" s="17"/>
      <c r="M5" s="17"/>
    </row>
    <row r="6" spans="1:15" s="18" customFormat="1" ht="12.75" customHeight="1" x14ac:dyDescent="0.2">
      <c r="A6" s="81"/>
      <c r="B6" s="28"/>
      <c r="C6" s="89"/>
      <c r="D6" s="82"/>
      <c r="F6" s="163" t="s">
        <v>43</v>
      </c>
      <c r="G6" s="164"/>
      <c r="H6" s="165" t="e">
        <f ca="1">INDIRECT(CONCATENATE("N",MAX(O14:O1000)))</f>
        <v>#REF!</v>
      </c>
      <c r="I6" s="166"/>
      <c r="K6" s="167" t="s">
        <v>44</v>
      </c>
      <c r="L6" s="168"/>
      <c r="M6" s="171">
        <v>2</v>
      </c>
    </row>
    <row r="7" spans="1:15" s="18" customFormat="1" ht="15.75" x14ac:dyDescent="0.25">
      <c r="A7" s="81"/>
      <c r="B7" s="87" t="s">
        <v>22</v>
      </c>
      <c r="C7" s="88" t="s">
        <v>66</v>
      </c>
      <c r="D7" s="90"/>
      <c r="F7" s="173" t="s">
        <v>45</v>
      </c>
      <c r="G7" s="174"/>
      <c r="H7" s="157" t="e">
        <f ca="1">H4+H5-H6</f>
        <v>#REF!</v>
      </c>
      <c r="I7" s="158"/>
      <c r="K7" s="169"/>
      <c r="L7" s="170"/>
      <c r="M7" s="172"/>
    </row>
    <row r="8" spans="1:15" s="18" customFormat="1" ht="12.75" customHeight="1" thickBot="1" x14ac:dyDescent="0.25">
      <c r="A8" s="81"/>
      <c r="B8" s="28"/>
      <c r="C8" s="89"/>
      <c r="D8" s="90"/>
      <c r="F8" s="178" t="s">
        <v>46</v>
      </c>
      <c r="G8" s="179"/>
      <c r="H8" s="180">
        <f>SUM(J15:J1000)</f>
        <v>0</v>
      </c>
      <c r="I8" s="181"/>
      <c r="J8" s="29"/>
      <c r="N8" s="30"/>
    </row>
    <row r="9" spans="1:15" s="18" customFormat="1" ht="17.25" thickTop="1" thickBot="1" x14ac:dyDescent="0.3">
      <c r="A9" s="81"/>
      <c r="B9" s="87" t="s">
        <v>20</v>
      </c>
      <c r="C9" s="88" t="s">
        <v>59</v>
      </c>
      <c r="D9" s="90"/>
      <c r="F9" s="182" t="s">
        <v>47</v>
      </c>
      <c r="G9" s="183"/>
      <c r="H9" s="184">
        <f>ROUND(G7-G8,0)</f>
        <v>0</v>
      </c>
      <c r="I9" s="185"/>
      <c r="J9" s="21"/>
    </row>
    <row r="10" spans="1:15" s="18" customFormat="1" ht="13.5" thickTop="1" thickBot="1" x14ac:dyDescent="0.25">
      <c r="A10" s="81"/>
      <c r="B10" s="91"/>
      <c r="C10" s="92"/>
      <c r="D10" s="90"/>
      <c r="H10" s="31"/>
      <c r="I10" s="14"/>
      <c r="J10" s="21"/>
      <c r="K10" s="22"/>
      <c r="L10" s="17"/>
      <c r="M10" s="17"/>
    </row>
    <row r="11" spans="1:15" s="18" customFormat="1" ht="12.75" thickTop="1" x14ac:dyDescent="0.2">
      <c r="A11" s="15"/>
      <c r="B11" s="13"/>
      <c r="C11" s="13"/>
      <c r="D11" s="19"/>
      <c r="E11" s="20"/>
      <c r="F11" s="17"/>
      <c r="G11" s="21"/>
      <c r="H11" s="20"/>
      <c r="I11" s="17"/>
      <c r="J11" s="21"/>
      <c r="K11" s="22"/>
      <c r="L11" s="17"/>
      <c r="M11" s="17"/>
    </row>
    <row r="12" spans="1:15" s="18" customFormat="1" ht="12.75" thickBot="1" x14ac:dyDescent="0.25">
      <c r="A12" s="93"/>
      <c r="B12" s="94"/>
      <c r="C12" s="94"/>
      <c r="D12" s="95"/>
      <c r="E12" s="175" t="s">
        <v>48</v>
      </c>
      <c r="F12" s="176"/>
      <c r="G12" s="177"/>
      <c r="H12" s="175" t="s">
        <v>49</v>
      </c>
      <c r="I12" s="176"/>
      <c r="J12" s="177"/>
      <c r="K12" s="175" t="s">
        <v>50</v>
      </c>
      <c r="L12" s="176"/>
      <c r="M12" s="177"/>
      <c r="N12" s="30"/>
    </row>
    <row r="13" spans="1:15" s="97" customFormat="1" ht="16.5" customHeight="1" thickBot="1" x14ac:dyDescent="0.25">
      <c r="A13" s="99" t="s">
        <v>17</v>
      </c>
      <c r="B13" s="100" t="s">
        <v>18</v>
      </c>
      <c r="C13" s="101" t="s">
        <v>20</v>
      </c>
      <c r="D13" s="102" t="s">
        <v>51</v>
      </c>
      <c r="E13" s="103" t="s">
        <v>52</v>
      </c>
      <c r="F13" s="104" t="s">
        <v>53</v>
      </c>
      <c r="G13" s="105" t="s">
        <v>54</v>
      </c>
      <c r="H13" s="103" t="s">
        <v>52</v>
      </c>
      <c r="I13" s="104" t="s">
        <v>55</v>
      </c>
      <c r="J13" s="105" t="s">
        <v>54</v>
      </c>
      <c r="K13" s="106" t="s">
        <v>52</v>
      </c>
      <c r="L13" s="104" t="s">
        <v>55</v>
      </c>
      <c r="M13" s="107" t="s">
        <v>54</v>
      </c>
      <c r="N13" s="96"/>
    </row>
    <row r="14" spans="1:15" x14ac:dyDescent="0.25">
      <c r="A14" s="108"/>
      <c r="F14" s="109"/>
      <c r="G14" s="109"/>
      <c r="L14" s="109"/>
      <c r="M14" s="109"/>
      <c r="N14"/>
      <c r="O14" s="98">
        <f>IF(AND(K14&lt;&gt;0,K15=0),ROW(K14),0)</f>
        <v>0</v>
      </c>
    </row>
    <row r="15" spans="1:15" x14ac:dyDescent="0.25">
      <c r="A15" s="108"/>
      <c r="I15" s="109"/>
      <c r="J15" s="109"/>
      <c r="L15" s="109"/>
      <c r="M15" s="109"/>
      <c r="N15"/>
      <c r="O15" s="98">
        <f>IF(AND(K15&lt;&gt;0,K16=0),ROW(K15),0)</f>
        <v>0</v>
      </c>
    </row>
    <row r="16" spans="1:15" x14ac:dyDescent="0.25">
      <c r="A16" s="108"/>
      <c r="I16" s="109"/>
      <c r="J16" s="109"/>
      <c r="L16" s="109"/>
      <c r="M16" s="109"/>
      <c r="N16"/>
      <c r="O16" s="98">
        <f t="shared" ref="O16:O79" si="0">IF(AND(K16&lt;&gt;0,K17=0),ROW(K16),0)</f>
        <v>0</v>
      </c>
    </row>
    <row r="17" spans="14:15" x14ac:dyDescent="0.25">
      <c r="N17"/>
      <c r="O17" s="98">
        <f t="shared" si="0"/>
        <v>0</v>
      </c>
    </row>
    <row r="18" spans="14:15" x14ac:dyDescent="0.25">
      <c r="N18"/>
      <c r="O18" s="98">
        <f t="shared" si="0"/>
        <v>0</v>
      </c>
    </row>
    <row r="19" spans="14:15" x14ac:dyDescent="0.25">
      <c r="N19"/>
      <c r="O19" s="98">
        <f t="shared" si="0"/>
        <v>0</v>
      </c>
    </row>
    <row r="20" spans="14:15" x14ac:dyDescent="0.25">
      <c r="N20"/>
      <c r="O20" s="98">
        <f t="shared" si="0"/>
        <v>0</v>
      </c>
    </row>
    <row r="21" spans="14:15" x14ac:dyDescent="0.25">
      <c r="N21"/>
      <c r="O21" s="98">
        <f t="shared" si="0"/>
        <v>0</v>
      </c>
    </row>
    <row r="22" spans="14:15" x14ac:dyDescent="0.25">
      <c r="N22"/>
      <c r="O22" s="98">
        <f t="shared" si="0"/>
        <v>0</v>
      </c>
    </row>
    <row r="23" spans="14:15" x14ac:dyDescent="0.25">
      <c r="N23"/>
      <c r="O23" s="98">
        <f t="shared" si="0"/>
        <v>0</v>
      </c>
    </row>
    <row r="24" spans="14:15" x14ac:dyDescent="0.25">
      <c r="N24"/>
      <c r="O24" s="98">
        <f t="shared" si="0"/>
        <v>0</v>
      </c>
    </row>
    <row r="25" spans="14:15" x14ac:dyDescent="0.25">
      <c r="N25"/>
      <c r="O25" s="98">
        <f t="shared" si="0"/>
        <v>0</v>
      </c>
    </row>
    <row r="26" spans="14:15" x14ac:dyDescent="0.25">
      <c r="N26"/>
      <c r="O26" s="98">
        <f t="shared" si="0"/>
        <v>0</v>
      </c>
    </row>
    <row r="27" spans="14:15" x14ac:dyDescent="0.25">
      <c r="N27"/>
      <c r="O27" s="98">
        <f t="shared" si="0"/>
        <v>0</v>
      </c>
    </row>
    <row r="28" spans="14:15" x14ac:dyDescent="0.25">
      <c r="N28"/>
      <c r="O28" s="98">
        <f t="shared" si="0"/>
        <v>0</v>
      </c>
    </row>
    <row r="29" spans="14:15" x14ac:dyDescent="0.25">
      <c r="N29"/>
      <c r="O29" s="98">
        <f t="shared" si="0"/>
        <v>0</v>
      </c>
    </row>
    <row r="30" spans="14:15" x14ac:dyDescent="0.25">
      <c r="N30"/>
      <c r="O30" s="98">
        <f t="shared" si="0"/>
        <v>0</v>
      </c>
    </row>
    <row r="31" spans="14:15" x14ac:dyDescent="0.25">
      <c r="N31"/>
      <c r="O31" s="98">
        <f t="shared" si="0"/>
        <v>0</v>
      </c>
    </row>
    <row r="32" spans="14:15" x14ac:dyDescent="0.25">
      <c r="N32"/>
      <c r="O32" s="98">
        <f t="shared" si="0"/>
        <v>0</v>
      </c>
    </row>
    <row r="33" spans="14:15" x14ac:dyDescent="0.25">
      <c r="N33"/>
      <c r="O33" s="98">
        <f t="shared" si="0"/>
        <v>0</v>
      </c>
    </row>
    <row r="34" spans="14:15" x14ac:dyDescent="0.25">
      <c r="N34"/>
      <c r="O34" s="98">
        <f t="shared" si="0"/>
        <v>0</v>
      </c>
    </row>
    <row r="35" spans="14:15" x14ac:dyDescent="0.25">
      <c r="N35"/>
      <c r="O35" s="98">
        <f t="shared" si="0"/>
        <v>0</v>
      </c>
    </row>
    <row r="36" spans="14:15" x14ac:dyDescent="0.25">
      <c r="N36"/>
      <c r="O36" s="98">
        <f t="shared" si="0"/>
        <v>0</v>
      </c>
    </row>
    <row r="37" spans="14:15" x14ac:dyDescent="0.25">
      <c r="N37"/>
      <c r="O37" s="98">
        <f t="shared" si="0"/>
        <v>0</v>
      </c>
    </row>
    <row r="38" spans="14:15" x14ac:dyDescent="0.25">
      <c r="N38"/>
      <c r="O38" s="98">
        <f t="shared" si="0"/>
        <v>0</v>
      </c>
    </row>
    <row r="39" spans="14:15" x14ac:dyDescent="0.25">
      <c r="N39"/>
      <c r="O39" s="98">
        <f t="shared" si="0"/>
        <v>0</v>
      </c>
    </row>
    <row r="40" spans="14:15" x14ac:dyDescent="0.25">
      <c r="N40"/>
      <c r="O40" s="98">
        <f t="shared" si="0"/>
        <v>0</v>
      </c>
    </row>
    <row r="41" spans="14:15" x14ac:dyDescent="0.25">
      <c r="N41"/>
      <c r="O41" s="98">
        <f t="shared" si="0"/>
        <v>0</v>
      </c>
    </row>
    <row r="42" spans="14:15" x14ac:dyDescent="0.25">
      <c r="N42"/>
      <c r="O42" s="98">
        <f t="shared" si="0"/>
        <v>0</v>
      </c>
    </row>
    <row r="43" spans="14:15" x14ac:dyDescent="0.25">
      <c r="N43"/>
      <c r="O43" s="98">
        <f t="shared" si="0"/>
        <v>0</v>
      </c>
    </row>
    <row r="44" spans="14:15" x14ac:dyDescent="0.25">
      <c r="N44"/>
      <c r="O44" s="98">
        <f t="shared" si="0"/>
        <v>0</v>
      </c>
    </row>
    <row r="45" spans="14:15" x14ac:dyDescent="0.25">
      <c r="N45"/>
      <c r="O45" s="98">
        <f t="shared" si="0"/>
        <v>0</v>
      </c>
    </row>
    <row r="46" spans="14:15" x14ac:dyDescent="0.25">
      <c r="O46" s="98">
        <f t="shared" si="0"/>
        <v>0</v>
      </c>
    </row>
    <row r="47" spans="14:15" x14ac:dyDescent="0.25">
      <c r="O47" s="98">
        <f t="shared" si="0"/>
        <v>0</v>
      </c>
    </row>
    <row r="48" spans="14:15" x14ac:dyDescent="0.25">
      <c r="O48" s="98">
        <f t="shared" si="0"/>
        <v>0</v>
      </c>
    </row>
    <row r="49" spans="15:15" x14ac:dyDescent="0.25">
      <c r="O49" s="98">
        <f t="shared" si="0"/>
        <v>0</v>
      </c>
    </row>
    <row r="50" spans="15:15" x14ac:dyDescent="0.25">
      <c r="O50" s="98">
        <f t="shared" si="0"/>
        <v>0</v>
      </c>
    </row>
    <row r="51" spans="15:15" x14ac:dyDescent="0.25">
      <c r="O51" s="98">
        <f t="shared" si="0"/>
        <v>0</v>
      </c>
    </row>
    <row r="52" spans="15:15" x14ac:dyDescent="0.25">
      <c r="O52" s="98">
        <f t="shared" si="0"/>
        <v>0</v>
      </c>
    </row>
    <row r="53" spans="15:15" x14ac:dyDescent="0.25">
      <c r="O53" s="98">
        <f t="shared" si="0"/>
        <v>0</v>
      </c>
    </row>
    <row r="54" spans="15:15" x14ac:dyDescent="0.25">
      <c r="O54" s="98">
        <f t="shared" si="0"/>
        <v>0</v>
      </c>
    </row>
    <row r="55" spans="15:15" x14ac:dyDescent="0.25">
      <c r="O55" s="98">
        <f t="shared" si="0"/>
        <v>0</v>
      </c>
    </row>
    <row r="56" spans="15:15" x14ac:dyDescent="0.25">
      <c r="O56" s="98">
        <f t="shared" si="0"/>
        <v>0</v>
      </c>
    </row>
    <row r="57" spans="15:15" x14ac:dyDescent="0.25">
      <c r="O57" s="98">
        <f t="shared" si="0"/>
        <v>0</v>
      </c>
    </row>
    <row r="58" spans="15:15" x14ac:dyDescent="0.25">
      <c r="O58" s="98">
        <f t="shared" si="0"/>
        <v>0</v>
      </c>
    </row>
    <row r="59" spans="15:15" x14ac:dyDescent="0.25">
      <c r="O59" s="98">
        <f t="shared" si="0"/>
        <v>0</v>
      </c>
    </row>
    <row r="60" spans="15:15" x14ac:dyDescent="0.25">
      <c r="O60" s="98">
        <f t="shared" si="0"/>
        <v>0</v>
      </c>
    </row>
    <row r="61" spans="15:15" x14ac:dyDescent="0.25">
      <c r="O61" s="98">
        <f t="shared" si="0"/>
        <v>0</v>
      </c>
    </row>
    <row r="62" spans="15:15" x14ac:dyDescent="0.25">
      <c r="O62" s="98">
        <f t="shared" si="0"/>
        <v>0</v>
      </c>
    </row>
    <row r="63" spans="15:15" x14ac:dyDescent="0.25">
      <c r="O63" s="98">
        <f t="shared" si="0"/>
        <v>0</v>
      </c>
    </row>
    <row r="64" spans="15:15" x14ac:dyDescent="0.25">
      <c r="O64" s="98">
        <f t="shared" si="0"/>
        <v>0</v>
      </c>
    </row>
    <row r="65" spans="15:15" x14ac:dyDescent="0.25">
      <c r="O65" s="98">
        <f t="shared" si="0"/>
        <v>0</v>
      </c>
    </row>
    <row r="66" spans="15:15" x14ac:dyDescent="0.25">
      <c r="O66" s="98">
        <f t="shared" si="0"/>
        <v>0</v>
      </c>
    </row>
    <row r="67" spans="15:15" x14ac:dyDescent="0.25">
      <c r="O67" s="98">
        <f t="shared" si="0"/>
        <v>0</v>
      </c>
    </row>
    <row r="68" spans="15:15" x14ac:dyDescent="0.25">
      <c r="O68" s="98">
        <f t="shared" si="0"/>
        <v>0</v>
      </c>
    </row>
    <row r="69" spans="15:15" x14ac:dyDescent="0.25">
      <c r="O69" s="98">
        <f t="shared" si="0"/>
        <v>0</v>
      </c>
    </row>
    <row r="70" spans="15:15" x14ac:dyDescent="0.25">
      <c r="O70" s="98">
        <f t="shared" si="0"/>
        <v>0</v>
      </c>
    </row>
    <row r="71" spans="15:15" x14ac:dyDescent="0.25">
      <c r="O71" s="98">
        <f t="shared" si="0"/>
        <v>0</v>
      </c>
    </row>
    <row r="72" spans="15:15" x14ac:dyDescent="0.25">
      <c r="O72" s="98">
        <f t="shared" si="0"/>
        <v>0</v>
      </c>
    </row>
    <row r="73" spans="15:15" x14ac:dyDescent="0.25">
      <c r="O73" s="98">
        <f t="shared" si="0"/>
        <v>0</v>
      </c>
    </row>
    <row r="74" spans="15:15" x14ac:dyDescent="0.25">
      <c r="O74" s="98">
        <f t="shared" si="0"/>
        <v>0</v>
      </c>
    </row>
    <row r="75" spans="15:15" x14ac:dyDescent="0.25">
      <c r="O75" s="98">
        <f t="shared" si="0"/>
        <v>0</v>
      </c>
    </row>
    <row r="76" spans="15:15" x14ac:dyDescent="0.25">
      <c r="O76" s="98">
        <f t="shared" si="0"/>
        <v>0</v>
      </c>
    </row>
    <row r="77" spans="15:15" x14ac:dyDescent="0.25">
      <c r="O77" s="98">
        <f t="shared" si="0"/>
        <v>0</v>
      </c>
    </row>
    <row r="78" spans="15:15" x14ac:dyDescent="0.25">
      <c r="O78" s="98">
        <f t="shared" si="0"/>
        <v>0</v>
      </c>
    </row>
    <row r="79" spans="15:15" x14ac:dyDescent="0.25">
      <c r="O79" s="98">
        <f t="shared" si="0"/>
        <v>0</v>
      </c>
    </row>
    <row r="80" spans="15:15" x14ac:dyDescent="0.25">
      <c r="O80" s="98">
        <f t="shared" ref="O80:O143" si="1">IF(AND(K80&lt;&gt;0,K81=0),ROW(K80),0)</f>
        <v>0</v>
      </c>
    </row>
    <row r="81" spans="15:15" x14ac:dyDescent="0.25">
      <c r="O81" s="98">
        <f t="shared" si="1"/>
        <v>0</v>
      </c>
    </row>
    <row r="82" spans="15:15" x14ac:dyDescent="0.25">
      <c r="O82" s="98">
        <f t="shared" si="1"/>
        <v>0</v>
      </c>
    </row>
    <row r="83" spans="15:15" x14ac:dyDescent="0.25">
      <c r="O83" s="98">
        <f t="shared" si="1"/>
        <v>0</v>
      </c>
    </row>
    <row r="84" spans="15:15" x14ac:dyDescent="0.25">
      <c r="O84" s="98">
        <f t="shared" si="1"/>
        <v>0</v>
      </c>
    </row>
    <row r="85" spans="15:15" x14ac:dyDescent="0.25">
      <c r="O85" s="98">
        <f t="shared" si="1"/>
        <v>0</v>
      </c>
    </row>
    <row r="86" spans="15:15" x14ac:dyDescent="0.25">
      <c r="O86" s="98">
        <f t="shared" si="1"/>
        <v>0</v>
      </c>
    </row>
    <row r="87" spans="15:15" x14ac:dyDescent="0.25">
      <c r="O87" s="98">
        <f t="shared" si="1"/>
        <v>0</v>
      </c>
    </row>
    <row r="88" spans="15:15" x14ac:dyDescent="0.25">
      <c r="O88" s="98">
        <f t="shared" si="1"/>
        <v>0</v>
      </c>
    </row>
    <row r="89" spans="15:15" x14ac:dyDescent="0.25">
      <c r="O89" s="98">
        <f t="shared" si="1"/>
        <v>0</v>
      </c>
    </row>
    <row r="90" spans="15:15" x14ac:dyDescent="0.25">
      <c r="O90" s="98">
        <f t="shared" si="1"/>
        <v>0</v>
      </c>
    </row>
    <row r="91" spans="15:15" x14ac:dyDescent="0.25">
      <c r="O91" s="98">
        <f t="shared" si="1"/>
        <v>0</v>
      </c>
    </row>
    <row r="92" spans="15:15" x14ac:dyDescent="0.25">
      <c r="O92" s="98">
        <f t="shared" si="1"/>
        <v>0</v>
      </c>
    </row>
    <row r="93" spans="15:15" x14ac:dyDescent="0.25">
      <c r="O93" s="98">
        <f t="shared" si="1"/>
        <v>0</v>
      </c>
    </row>
    <row r="94" spans="15:15" x14ac:dyDescent="0.25">
      <c r="O94" s="98">
        <f t="shared" si="1"/>
        <v>0</v>
      </c>
    </row>
    <row r="95" spans="15:15" x14ac:dyDescent="0.25">
      <c r="O95" s="98">
        <f t="shared" si="1"/>
        <v>0</v>
      </c>
    </row>
    <row r="96" spans="15:15" x14ac:dyDescent="0.25">
      <c r="O96" s="98">
        <f t="shared" si="1"/>
        <v>0</v>
      </c>
    </row>
    <row r="97" spans="15:15" x14ac:dyDescent="0.25">
      <c r="O97" s="98">
        <f t="shared" si="1"/>
        <v>0</v>
      </c>
    </row>
    <row r="98" spans="15:15" x14ac:dyDescent="0.25">
      <c r="O98" s="98">
        <f t="shared" si="1"/>
        <v>0</v>
      </c>
    </row>
    <row r="99" spans="15:15" x14ac:dyDescent="0.25">
      <c r="O99" s="98">
        <f t="shared" si="1"/>
        <v>0</v>
      </c>
    </row>
    <row r="100" spans="15:15" x14ac:dyDescent="0.25">
      <c r="O100" s="98">
        <f t="shared" si="1"/>
        <v>0</v>
      </c>
    </row>
    <row r="101" spans="15:15" x14ac:dyDescent="0.25">
      <c r="O101" s="98">
        <f t="shared" si="1"/>
        <v>0</v>
      </c>
    </row>
    <row r="102" spans="15:15" x14ac:dyDescent="0.25">
      <c r="O102" s="98">
        <f t="shared" si="1"/>
        <v>0</v>
      </c>
    </row>
    <row r="103" spans="15:15" x14ac:dyDescent="0.25">
      <c r="O103" s="98">
        <f t="shared" si="1"/>
        <v>0</v>
      </c>
    </row>
    <row r="104" spans="15:15" x14ac:dyDescent="0.25">
      <c r="O104" s="98">
        <f t="shared" si="1"/>
        <v>0</v>
      </c>
    </row>
    <row r="105" spans="15:15" x14ac:dyDescent="0.25">
      <c r="O105" s="98">
        <f t="shared" si="1"/>
        <v>0</v>
      </c>
    </row>
    <row r="106" spans="15:15" x14ac:dyDescent="0.25">
      <c r="O106" s="98">
        <f t="shared" si="1"/>
        <v>0</v>
      </c>
    </row>
    <row r="107" spans="15:15" x14ac:dyDescent="0.25">
      <c r="O107" s="98">
        <f t="shared" si="1"/>
        <v>0</v>
      </c>
    </row>
    <row r="108" spans="15:15" x14ac:dyDescent="0.25">
      <c r="O108" s="98">
        <f t="shared" si="1"/>
        <v>0</v>
      </c>
    </row>
    <row r="109" spans="15:15" x14ac:dyDescent="0.25">
      <c r="O109" s="98">
        <f t="shared" si="1"/>
        <v>0</v>
      </c>
    </row>
    <row r="110" spans="15:15" x14ac:dyDescent="0.25">
      <c r="O110" s="98">
        <f t="shared" si="1"/>
        <v>0</v>
      </c>
    </row>
    <row r="111" spans="15:15" x14ac:dyDescent="0.25">
      <c r="O111" s="98">
        <f t="shared" si="1"/>
        <v>0</v>
      </c>
    </row>
    <row r="112" spans="15:15" x14ac:dyDescent="0.25">
      <c r="O112" s="98">
        <f t="shared" si="1"/>
        <v>0</v>
      </c>
    </row>
    <row r="113" spans="15:15" x14ac:dyDescent="0.25">
      <c r="O113" s="98">
        <f t="shared" si="1"/>
        <v>0</v>
      </c>
    </row>
    <row r="114" spans="15:15" x14ac:dyDescent="0.25">
      <c r="O114" s="98">
        <f t="shared" si="1"/>
        <v>0</v>
      </c>
    </row>
    <row r="115" spans="15:15" x14ac:dyDescent="0.25">
      <c r="O115" s="98">
        <f t="shared" si="1"/>
        <v>0</v>
      </c>
    </row>
    <row r="116" spans="15:15" x14ac:dyDescent="0.25">
      <c r="O116" s="98">
        <f t="shared" si="1"/>
        <v>0</v>
      </c>
    </row>
    <row r="117" spans="15:15" x14ac:dyDescent="0.25">
      <c r="O117" s="98">
        <f t="shared" si="1"/>
        <v>0</v>
      </c>
    </row>
    <row r="118" spans="15:15" x14ac:dyDescent="0.25">
      <c r="O118" s="98">
        <f t="shared" si="1"/>
        <v>0</v>
      </c>
    </row>
    <row r="119" spans="15:15" x14ac:dyDescent="0.25">
      <c r="O119" s="98">
        <f t="shared" si="1"/>
        <v>0</v>
      </c>
    </row>
    <row r="120" spans="15:15" x14ac:dyDescent="0.25">
      <c r="O120" s="98">
        <f t="shared" si="1"/>
        <v>0</v>
      </c>
    </row>
    <row r="121" spans="15:15" x14ac:dyDescent="0.25">
      <c r="O121" s="98">
        <f t="shared" si="1"/>
        <v>0</v>
      </c>
    </row>
    <row r="122" spans="15:15" x14ac:dyDescent="0.25">
      <c r="O122" s="98">
        <f t="shared" si="1"/>
        <v>0</v>
      </c>
    </row>
    <row r="123" spans="15:15" x14ac:dyDescent="0.25">
      <c r="O123" s="98">
        <f t="shared" si="1"/>
        <v>0</v>
      </c>
    </row>
    <row r="124" spans="15:15" x14ac:dyDescent="0.25">
      <c r="O124" s="98">
        <f t="shared" si="1"/>
        <v>0</v>
      </c>
    </row>
    <row r="125" spans="15:15" x14ac:dyDescent="0.25">
      <c r="O125" s="98">
        <f t="shared" si="1"/>
        <v>0</v>
      </c>
    </row>
    <row r="126" spans="15:15" x14ac:dyDescent="0.25">
      <c r="O126" s="98">
        <f t="shared" si="1"/>
        <v>0</v>
      </c>
    </row>
    <row r="127" spans="15:15" x14ac:dyDescent="0.25">
      <c r="O127" s="98">
        <f t="shared" si="1"/>
        <v>0</v>
      </c>
    </row>
    <row r="128" spans="15:15" x14ac:dyDescent="0.25">
      <c r="O128" s="98">
        <f t="shared" si="1"/>
        <v>0</v>
      </c>
    </row>
    <row r="129" spans="15:15" x14ac:dyDescent="0.25">
      <c r="O129" s="98">
        <f t="shared" si="1"/>
        <v>0</v>
      </c>
    </row>
    <row r="130" spans="15:15" x14ac:dyDescent="0.25">
      <c r="O130" s="98">
        <f t="shared" si="1"/>
        <v>0</v>
      </c>
    </row>
    <row r="131" spans="15:15" x14ac:dyDescent="0.25">
      <c r="O131" s="98">
        <f t="shared" si="1"/>
        <v>0</v>
      </c>
    </row>
    <row r="132" spans="15:15" x14ac:dyDescent="0.25">
      <c r="O132" s="98">
        <f t="shared" si="1"/>
        <v>0</v>
      </c>
    </row>
    <row r="133" spans="15:15" x14ac:dyDescent="0.25">
      <c r="O133" s="98">
        <f t="shared" si="1"/>
        <v>0</v>
      </c>
    </row>
    <row r="134" spans="15:15" x14ac:dyDescent="0.25">
      <c r="O134" s="98">
        <f t="shared" si="1"/>
        <v>0</v>
      </c>
    </row>
    <row r="135" spans="15:15" x14ac:dyDescent="0.25">
      <c r="O135" s="98">
        <f t="shared" si="1"/>
        <v>0</v>
      </c>
    </row>
    <row r="136" spans="15:15" x14ac:dyDescent="0.25">
      <c r="O136" s="98">
        <f t="shared" si="1"/>
        <v>0</v>
      </c>
    </row>
    <row r="137" spans="15:15" x14ac:dyDescent="0.25">
      <c r="O137" s="98">
        <f t="shared" si="1"/>
        <v>0</v>
      </c>
    </row>
    <row r="138" spans="15:15" x14ac:dyDescent="0.25">
      <c r="O138" s="98">
        <f t="shared" si="1"/>
        <v>0</v>
      </c>
    </row>
    <row r="139" spans="15:15" x14ac:dyDescent="0.25">
      <c r="O139" s="98">
        <f t="shared" si="1"/>
        <v>0</v>
      </c>
    </row>
    <row r="140" spans="15:15" x14ac:dyDescent="0.25">
      <c r="O140" s="98">
        <f t="shared" si="1"/>
        <v>0</v>
      </c>
    </row>
    <row r="141" spans="15:15" x14ac:dyDescent="0.25">
      <c r="O141" s="98">
        <f t="shared" si="1"/>
        <v>0</v>
      </c>
    </row>
    <row r="142" spans="15:15" x14ac:dyDescent="0.25">
      <c r="O142" s="98">
        <f t="shared" si="1"/>
        <v>0</v>
      </c>
    </row>
    <row r="143" spans="15:15" x14ac:dyDescent="0.25">
      <c r="O143" s="98">
        <f t="shared" si="1"/>
        <v>0</v>
      </c>
    </row>
    <row r="144" spans="15:15" x14ac:dyDescent="0.25">
      <c r="O144" s="98">
        <f t="shared" ref="O144:O207" si="2">IF(AND(K144&lt;&gt;0,K145=0),ROW(K144),0)</f>
        <v>0</v>
      </c>
    </row>
    <row r="145" spans="15:15" x14ac:dyDescent="0.25">
      <c r="O145" s="98">
        <f t="shared" si="2"/>
        <v>0</v>
      </c>
    </row>
    <row r="146" spans="15:15" x14ac:dyDescent="0.25">
      <c r="O146" s="98">
        <f t="shared" si="2"/>
        <v>0</v>
      </c>
    </row>
    <row r="147" spans="15:15" x14ac:dyDescent="0.25">
      <c r="O147" s="98">
        <f t="shared" si="2"/>
        <v>0</v>
      </c>
    </row>
    <row r="148" spans="15:15" x14ac:dyDescent="0.25">
      <c r="O148" s="98">
        <f t="shared" si="2"/>
        <v>0</v>
      </c>
    </row>
    <row r="149" spans="15:15" x14ac:dyDescent="0.25">
      <c r="O149" s="98">
        <f t="shared" si="2"/>
        <v>0</v>
      </c>
    </row>
    <row r="150" spans="15:15" x14ac:dyDescent="0.25">
      <c r="O150" s="98">
        <f t="shared" si="2"/>
        <v>0</v>
      </c>
    </row>
    <row r="151" spans="15:15" x14ac:dyDescent="0.25">
      <c r="O151" s="98">
        <f t="shared" si="2"/>
        <v>0</v>
      </c>
    </row>
    <row r="152" spans="15:15" x14ac:dyDescent="0.25">
      <c r="O152" s="98">
        <f t="shared" si="2"/>
        <v>0</v>
      </c>
    </row>
    <row r="153" spans="15:15" x14ac:dyDescent="0.25">
      <c r="O153" s="98">
        <f t="shared" si="2"/>
        <v>0</v>
      </c>
    </row>
    <row r="154" spans="15:15" x14ac:dyDescent="0.25">
      <c r="O154" s="98">
        <f t="shared" si="2"/>
        <v>0</v>
      </c>
    </row>
    <row r="155" spans="15:15" x14ac:dyDescent="0.25">
      <c r="O155" s="98">
        <f t="shared" si="2"/>
        <v>0</v>
      </c>
    </row>
    <row r="156" spans="15:15" x14ac:dyDescent="0.25">
      <c r="O156" s="98">
        <f t="shared" si="2"/>
        <v>0</v>
      </c>
    </row>
    <row r="157" spans="15:15" x14ac:dyDescent="0.25">
      <c r="O157" s="98">
        <f t="shared" si="2"/>
        <v>0</v>
      </c>
    </row>
    <row r="158" spans="15:15" x14ac:dyDescent="0.25">
      <c r="O158" s="98">
        <f t="shared" si="2"/>
        <v>0</v>
      </c>
    </row>
    <row r="159" spans="15:15" x14ac:dyDescent="0.25">
      <c r="O159" s="98">
        <f t="shared" si="2"/>
        <v>0</v>
      </c>
    </row>
    <row r="160" spans="15:15" x14ac:dyDescent="0.25">
      <c r="O160" s="98">
        <f t="shared" si="2"/>
        <v>0</v>
      </c>
    </row>
    <row r="161" spans="15:15" x14ac:dyDescent="0.25">
      <c r="O161" s="98">
        <f t="shared" si="2"/>
        <v>0</v>
      </c>
    </row>
    <row r="162" spans="15:15" x14ac:dyDescent="0.25">
      <c r="O162" s="98">
        <f t="shared" si="2"/>
        <v>0</v>
      </c>
    </row>
    <row r="163" spans="15:15" x14ac:dyDescent="0.25">
      <c r="O163" s="98">
        <f t="shared" si="2"/>
        <v>0</v>
      </c>
    </row>
    <row r="164" spans="15:15" x14ac:dyDescent="0.25">
      <c r="O164" s="98">
        <f t="shared" si="2"/>
        <v>0</v>
      </c>
    </row>
    <row r="165" spans="15:15" x14ac:dyDescent="0.25">
      <c r="O165" s="98">
        <f t="shared" si="2"/>
        <v>0</v>
      </c>
    </row>
    <row r="166" spans="15:15" x14ac:dyDescent="0.25">
      <c r="O166" s="98">
        <f t="shared" si="2"/>
        <v>0</v>
      </c>
    </row>
    <row r="167" spans="15:15" x14ac:dyDescent="0.25">
      <c r="O167" s="98">
        <f t="shared" si="2"/>
        <v>0</v>
      </c>
    </row>
    <row r="168" spans="15:15" x14ac:dyDescent="0.25">
      <c r="O168" s="98">
        <f t="shared" si="2"/>
        <v>0</v>
      </c>
    </row>
    <row r="169" spans="15:15" x14ac:dyDescent="0.25">
      <c r="O169" s="98">
        <f t="shared" si="2"/>
        <v>0</v>
      </c>
    </row>
    <row r="170" spans="15:15" x14ac:dyDescent="0.25">
      <c r="O170" s="98">
        <f t="shared" si="2"/>
        <v>0</v>
      </c>
    </row>
    <row r="171" spans="15:15" x14ac:dyDescent="0.25">
      <c r="O171" s="98">
        <f t="shared" si="2"/>
        <v>0</v>
      </c>
    </row>
    <row r="172" spans="15:15" x14ac:dyDescent="0.25">
      <c r="O172" s="98">
        <f t="shared" si="2"/>
        <v>0</v>
      </c>
    </row>
    <row r="173" spans="15:15" x14ac:dyDescent="0.25">
      <c r="O173" s="98">
        <f t="shared" si="2"/>
        <v>0</v>
      </c>
    </row>
    <row r="174" spans="15:15" x14ac:dyDescent="0.25">
      <c r="O174" s="98">
        <f t="shared" si="2"/>
        <v>0</v>
      </c>
    </row>
    <row r="175" spans="15:15" x14ac:dyDescent="0.25">
      <c r="O175" s="98">
        <f t="shared" si="2"/>
        <v>0</v>
      </c>
    </row>
    <row r="176" spans="15:15" x14ac:dyDescent="0.25">
      <c r="O176" s="98">
        <f t="shared" si="2"/>
        <v>0</v>
      </c>
    </row>
    <row r="177" spans="15:15" x14ac:dyDescent="0.25">
      <c r="O177" s="98">
        <f t="shared" si="2"/>
        <v>0</v>
      </c>
    </row>
    <row r="178" spans="15:15" x14ac:dyDescent="0.25">
      <c r="O178" s="98">
        <f t="shared" si="2"/>
        <v>0</v>
      </c>
    </row>
    <row r="179" spans="15:15" x14ac:dyDescent="0.25">
      <c r="O179" s="98">
        <f t="shared" si="2"/>
        <v>0</v>
      </c>
    </row>
    <row r="180" spans="15:15" x14ac:dyDescent="0.25">
      <c r="O180" s="98">
        <f t="shared" si="2"/>
        <v>0</v>
      </c>
    </row>
    <row r="181" spans="15:15" x14ac:dyDescent="0.25">
      <c r="O181" s="98">
        <f t="shared" si="2"/>
        <v>0</v>
      </c>
    </row>
    <row r="182" spans="15:15" x14ac:dyDescent="0.25">
      <c r="O182" s="98">
        <f t="shared" si="2"/>
        <v>0</v>
      </c>
    </row>
    <row r="183" spans="15:15" x14ac:dyDescent="0.25">
      <c r="O183" s="98">
        <f t="shared" si="2"/>
        <v>0</v>
      </c>
    </row>
    <row r="184" spans="15:15" x14ac:dyDescent="0.25">
      <c r="O184" s="98">
        <f t="shared" si="2"/>
        <v>0</v>
      </c>
    </row>
    <row r="185" spans="15:15" x14ac:dyDescent="0.25">
      <c r="O185" s="98">
        <f t="shared" si="2"/>
        <v>0</v>
      </c>
    </row>
    <row r="186" spans="15:15" x14ac:dyDescent="0.25">
      <c r="O186" s="98">
        <f t="shared" si="2"/>
        <v>0</v>
      </c>
    </row>
    <row r="187" spans="15:15" x14ac:dyDescent="0.25">
      <c r="O187" s="98">
        <f t="shared" si="2"/>
        <v>0</v>
      </c>
    </row>
    <row r="188" spans="15:15" x14ac:dyDescent="0.25">
      <c r="O188" s="98">
        <f t="shared" si="2"/>
        <v>0</v>
      </c>
    </row>
    <row r="189" spans="15:15" x14ac:dyDescent="0.25">
      <c r="O189" s="98">
        <f t="shared" si="2"/>
        <v>0</v>
      </c>
    </row>
    <row r="190" spans="15:15" x14ac:dyDescent="0.25">
      <c r="O190" s="98">
        <f t="shared" si="2"/>
        <v>0</v>
      </c>
    </row>
    <row r="191" spans="15:15" x14ac:dyDescent="0.25">
      <c r="O191" s="98">
        <f t="shared" si="2"/>
        <v>0</v>
      </c>
    </row>
    <row r="192" spans="15:15" x14ac:dyDescent="0.25">
      <c r="O192" s="98">
        <f t="shared" si="2"/>
        <v>0</v>
      </c>
    </row>
    <row r="193" spans="15:15" x14ac:dyDescent="0.25">
      <c r="O193" s="98">
        <f t="shared" si="2"/>
        <v>0</v>
      </c>
    </row>
    <row r="194" spans="15:15" x14ac:dyDescent="0.25">
      <c r="O194" s="98">
        <f t="shared" si="2"/>
        <v>0</v>
      </c>
    </row>
    <row r="195" spans="15:15" x14ac:dyDescent="0.25">
      <c r="O195" s="98">
        <f t="shared" si="2"/>
        <v>0</v>
      </c>
    </row>
    <row r="196" spans="15:15" x14ac:dyDescent="0.25">
      <c r="O196" s="98">
        <f t="shared" si="2"/>
        <v>0</v>
      </c>
    </row>
    <row r="197" spans="15:15" x14ac:dyDescent="0.25">
      <c r="O197" s="98">
        <f t="shared" si="2"/>
        <v>0</v>
      </c>
    </row>
    <row r="198" spans="15:15" x14ac:dyDescent="0.25">
      <c r="O198" s="98">
        <f t="shared" si="2"/>
        <v>0</v>
      </c>
    </row>
    <row r="199" spans="15:15" x14ac:dyDescent="0.25">
      <c r="O199" s="98">
        <f t="shared" si="2"/>
        <v>0</v>
      </c>
    </row>
    <row r="200" spans="15:15" x14ac:dyDescent="0.25">
      <c r="O200" s="98">
        <f t="shared" si="2"/>
        <v>0</v>
      </c>
    </row>
    <row r="201" spans="15:15" x14ac:dyDescent="0.25">
      <c r="O201" s="98">
        <f t="shared" si="2"/>
        <v>0</v>
      </c>
    </row>
    <row r="202" spans="15:15" x14ac:dyDescent="0.25">
      <c r="O202" s="98">
        <f t="shared" si="2"/>
        <v>0</v>
      </c>
    </row>
    <row r="203" spans="15:15" x14ac:dyDescent="0.25">
      <c r="O203" s="98">
        <f t="shared" si="2"/>
        <v>0</v>
      </c>
    </row>
    <row r="204" spans="15:15" x14ac:dyDescent="0.25">
      <c r="O204" s="98">
        <f t="shared" si="2"/>
        <v>0</v>
      </c>
    </row>
    <row r="205" spans="15:15" x14ac:dyDescent="0.25">
      <c r="O205" s="98">
        <f t="shared" si="2"/>
        <v>0</v>
      </c>
    </row>
    <row r="206" spans="15:15" x14ac:dyDescent="0.25">
      <c r="O206" s="98">
        <f t="shared" si="2"/>
        <v>0</v>
      </c>
    </row>
    <row r="207" spans="15:15" x14ac:dyDescent="0.25">
      <c r="O207" s="98">
        <f t="shared" si="2"/>
        <v>0</v>
      </c>
    </row>
    <row r="208" spans="15:15" x14ac:dyDescent="0.25">
      <c r="O208" s="98">
        <f t="shared" ref="O208:O271" si="3">IF(AND(K208&lt;&gt;0,K209=0),ROW(K208),0)</f>
        <v>0</v>
      </c>
    </row>
    <row r="209" spans="15:15" x14ac:dyDescent="0.25">
      <c r="O209" s="98">
        <f t="shared" si="3"/>
        <v>0</v>
      </c>
    </row>
    <row r="210" spans="15:15" x14ac:dyDescent="0.25">
      <c r="O210" s="98">
        <f t="shared" si="3"/>
        <v>0</v>
      </c>
    </row>
    <row r="211" spans="15:15" x14ac:dyDescent="0.25">
      <c r="O211" s="98">
        <f t="shared" si="3"/>
        <v>0</v>
      </c>
    </row>
    <row r="212" spans="15:15" x14ac:dyDescent="0.25">
      <c r="O212" s="98">
        <f t="shared" si="3"/>
        <v>0</v>
      </c>
    </row>
    <row r="213" spans="15:15" x14ac:dyDescent="0.25">
      <c r="O213" s="98">
        <f t="shared" si="3"/>
        <v>0</v>
      </c>
    </row>
    <row r="214" spans="15:15" x14ac:dyDescent="0.25">
      <c r="O214" s="98">
        <f t="shared" si="3"/>
        <v>0</v>
      </c>
    </row>
    <row r="215" spans="15:15" x14ac:dyDescent="0.25">
      <c r="O215" s="98">
        <f t="shared" si="3"/>
        <v>0</v>
      </c>
    </row>
    <row r="216" spans="15:15" x14ac:dyDescent="0.25">
      <c r="O216" s="98">
        <f t="shared" si="3"/>
        <v>0</v>
      </c>
    </row>
    <row r="217" spans="15:15" x14ac:dyDescent="0.25">
      <c r="O217" s="98">
        <f t="shared" si="3"/>
        <v>0</v>
      </c>
    </row>
    <row r="218" spans="15:15" x14ac:dyDescent="0.25">
      <c r="O218" s="98">
        <f t="shared" si="3"/>
        <v>0</v>
      </c>
    </row>
    <row r="219" spans="15:15" x14ac:dyDescent="0.25">
      <c r="O219" s="98">
        <f t="shared" si="3"/>
        <v>0</v>
      </c>
    </row>
    <row r="220" spans="15:15" x14ac:dyDescent="0.25">
      <c r="O220" s="98">
        <f t="shared" si="3"/>
        <v>0</v>
      </c>
    </row>
    <row r="221" spans="15:15" x14ac:dyDescent="0.25">
      <c r="O221" s="98">
        <f t="shared" si="3"/>
        <v>0</v>
      </c>
    </row>
    <row r="222" spans="15:15" x14ac:dyDescent="0.25">
      <c r="O222" s="98">
        <f t="shared" si="3"/>
        <v>0</v>
      </c>
    </row>
    <row r="223" spans="15:15" x14ac:dyDescent="0.25">
      <c r="O223" s="98">
        <f t="shared" si="3"/>
        <v>0</v>
      </c>
    </row>
    <row r="224" spans="15:15" x14ac:dyDescent="0.25">
      <c r="O224" s="98">
        <f t="shared" si="3"/>
        <v>0</v>
      </c>
    </row>
    <row r="225" spans="15:15" x14ac:dyDescent="0.25">
      <c r="O225" s="98">
        <f t="shared" si="3"/>
        <v>0</v>
      </c>
    </row>
    <row r="226" spans="15:15" x14ac:dyDescent="0.25">
      <c r="O226" s="98">
        <f t="shared" si="3"/>
        <v>0</v>
      </c>
    </row>
    <row r="227" spans="15:15" x14ac:dyDescent="0.25">
      <c r="O227" s="98">
        <f t="shared" si="3"/>
        <v>0</v>
      </c>
    </row>
    <row r="228" spans="15:15" x14ac:dyDescent="0.25">
      <c r="O228" s="98">
        <f t="shared" si="3"/>
        <v>0</v>
      </c>
    </row>
    <row r="229" spans="15:15" x14ac:dyDescent="0.25">
      <c r="O229" s="98">
        <f t="shared" si="3"/>
        <v>0</v>
      </c>
    </row>
    <row r="230" spans="15:15" x14ac:dyDescent="0.25">
      <c r="O230" s="98">
        <f t="shared" si="3"/>
        <v>0</v>
      </c>
    </row>
    <row r="231" spans="15:15" x14ac:dyDescent="0.25">
      <c r="O231" s="98">
        <f t="shared" si="3"/>
        <v>0</v>
      </c>
    </row>
    <row r="232" spans="15:15" x14ac:dyDescent="0.25">
      <c r="O232" s="98">
        <f t="shared" si="3"/>
        <v>0</v>
      </c>
    </row>
    <row r="233" spans="15:15" x14ac:dyDescent="0.25">
      <c r="O233" s="98">
        <f t="shared" si="3"/>
        <v>0</v>
      </c>
    </row>
    <row r="234" spans="15:15" x14ac:dyDescent="0.25">
      <c r="O234" s="98">
        <f t="shared" si="3"/>
        <v>0</v>
      </c>
    </row>
    <row r="235" spans="15:15" x14ac:dyDescent="0.25">
      <c r="O235" s="98">
        <f t="shared" si="3"/>
        <v>0</v>
      </c>
    </row>
    <row r="236" spans="15:15" x14ac:dyDescent="0.25">
      <c r="O236" s="98">
        <f t="shared" si="3"/>
        <v>0</v>
      </c>
    </row>
    <row r="237" spans="15:15" x14ac:dyDescent="0.25">
      <c r="O237" s="98">
        <f t="shared" si="3"/>
        <v>0</v>
      </c>
    </row>
    <row r="238" spans="15:15" x14ac:dyDescent="0.25">
      <c r="O238" s="98">
        <f t="shared" si="3"/>
        <v>0</v>
      </c>
    </row>
    <row r="239" spans="15:15" x14ac:dyDescent="0.25">
      <c r="O239" s="98">
        <f t="shared" si="3"/>
        <v>0</v>
      </c>
    </row>
    <row r="240" spans="15:15" x14ac:dyDescent="0.25">
      <c r="O240" s="98">
        <f t="shared" si="3"/>
        <v>0</v>
      </c>
    </row>
    <row r="241" spans="15:15" x14ac:dyDescent="0.25">
      <c r="O241" s="98">
        <f t="shared" si="3"/>
        <v>0</v>
      </c>
    </row>
    <row r="242" spans="15:15" x14ac:dyDescent="0.25">
      <c r="O242" s="98">
        <f t="shared" si="3"/>
        <v>0</v>
      </c>
    </row>
    <row r="243" spans="15:15" x14ac:dyDescent="0.25">
      <c r="O243" s="98">
        <f t="shared" si="3"/>
        <v>0</v>
      </c>
    </row>
    <row r="244" spans="15:15" x14ac:dyDescent="0.25">
      <c r="O244" s="98">
        <f t="shared" si="3"/>
        <v>0</v>
      </c>
    </row>
    <row r="245" spans="15:15" x14ac:dyDescent="0.25">
      <c r="O245" s="98">
        <f t="shared" si="3"/>
        <v>0</v>
      </c>
    </row>
    <row r="246" spans="15:15" x14ac:dyDescent="0.25">
      <c r="O246" s="98">
        <f t="shared" si="3"/>
        <v>0</v>
      </c>
    </row>
    <row r="247" spans="15:15" x14ac:dyDescent="0.25">
      <c r="O247" s="98">
        <f t="shared" si="3"/>
        <v>0</v>
      </c>
    </row>
    <row r="248" spans="15:15" x14ac:dyDescent="0.25">
      <c r="O248" s="98">
        <f t="shared" si="3"/>
        <v>0</v>
      </c>
    </row>
    <row r="249" spans="15:15" x14ac:dyDescent="0.25">
      <c r="O249" s="98">
        <f t="shared" si="3"/>
        <v>0</v>
      </c>
    </row>
    <row r="250" spans="15:15" x14ac:dyDescent="0.25">
      <c r="O250" s="98">
        <f t="shared" si="3"/>
        <v>0</v>
      </c>
    </row>
    <row r="251" spans="15:15" x14ac:dyDescent="0.25">
      <c r="O251" s="98">
        <f t="shared" si="3"/>
        <v>0</v>
      </c>
    </row>
    <row r="252" spans="15:15" x14ac:dyDescent="0.25">
      <c r="O252" s="98">
        <f t="shared" si="3"/>
        <v>0</v>
      </c>
    </row>
    <row r="253" spans="15:15" x14ac:dyDescent="0.25">
      <c r="O253" s="98">
        <f t="shared" si="3"/>
        <v>0</v>
      </c>
    </row>
    <row r="254" spans="15:15" x14ac:dyDescent="0.25">
      <c r="O254" s="98">
        <f t="shared" si="3"/>
        <v>0</v>
      </c>
    </row>
    <row r="255" spans="15:15" x14ac:dyDescent="0.25">
      <c r="O255" s="98">
        <f t="shared" si="3"/>
        <v>0</v>
      </c>
    </row>
    <row r="256" spans="15:15" x14ac:dyDescent="0.25">
      <c r="O256" s="98">
        <f t="shared" si="3"/>
        <v>0</v>
      </c>
    </row>
    <row r="257" spans="15:15" x14ac:dyDescent="0.25">
      <c r="O257" s="98">
        <f t="shared" si="3"/>
        <v>0</v>
      </c>
    </row>
    <row r="258" spans="15:15" x14ac:dyDescent="0.25">
      <c r="O258" s="98">
        <f t="shared" si="3"/>
        <v>0</v>
      </c>
    </row>
    <row r="259" spans="15:15" x14ac:dyDescent="0.25">
      <c r="O259" s="98">
        <f t="shared" si="3"/>
        <v>0</v>
      </c>
    </row>
    <row r="260" spans="15:15" x14ac:dyDescent="0.25">
      <c r="O260" s="98">
        <f t="shared" si="3"/>
        <v>0</v>
      </c>
    </row>
    <row r="261" spans="15:15" x14ac:dyDescent="0.25">
      <c r="O261" s="98">
        <f t="shared" si="3"/>
        <v>0</v>
      </c>
    </row>
    <row r="262" spans="15:15" x14ac:dyDescent="0.25">
      <c r="O262" s="98">
        <f t="shared" si="3"/>
        <v>0</v>
      </c>
    </row>
    <row r="263" spans="15:15" x14ac:dyDescent="0.25">
      <c r="O263" s="98">
        <f t="shared" si="3"/>
        <v>0</v>
      </c>
    </row>
    <row r="264" spans="15:15" x14ac:dyDescent="0.25">
      <c r="O264" s="98">
        <f t="shared" si="3"/>
        <v>0</v>
      </c>
    </row>
    <row r="265" spans="15:15" x14ac:dyDescent="0.25">
      <c r="O265" s="98">
        <f t="shared" si="3"/>
        <v>0</v>
      </c>
    </row>
    <row r="266" spans="15:15" x14ac:dyDescent="0.25">
      <c r="O266" s="98">
        <f t="shared" si="3"/>
        <v>0</v>
      </c>
    </row>
    <row r="267" spans="15:15" x14ac:dyDescent="0.25">
      <c r="O267" s="98">
        <f t="shared" si="3"/>
        <v>0</v>
      </c>
    </row>
    <row r="268" spans="15:15" x14ac:dyDescent="0.25">
      <c r="O268" s="98">
        <f t="shared" si="3"/>
        <v>0</v>
      </c>
    </row>
    <row r="269" spans="15:15" x14ac:dyDescent="0.25">
      <c r="O269" s="98">
        <f t="shared" si="3"/>
        <v>0</v>
      </c>
    </row>
    <row r="270" spans="15:15" x14ac:dyDescent="0.25">
      <c r="O270" s="98">
        <f t="shared" si="3"/>
        <v>0</v>
      </c>
    </row>
    <row r="271" spans="15:15" x14ac:dyDescent="0.25">
      <c r="O271" s="98">
        <f t="shared" si="3"/>
        <v>0</v>
      </c>
    </row>
    <row r="272" spans="15:15" x14ac:dyDescent="0.25">
      <c r="O272" s="98">
        <f t="shared" ref="O272:O335" si="4">IF(AND(K272&lt;&gt;0,K273=0),ROW(K272),0)</f>
        <v>0</v>
      </c>
    </row>
    <row r="273" spans="15:15" x14ac:dyDescent="0.25">
      <c r="O273" s="98">
        <f t="shared" si="4"/>
        <v>0</v>
      </c>
    </row>
    <row r="274" spans="15:15" x14ac:dyDescent="0.25">
      <c r="O274" s="98">
        <f t="shared" si="4"/>
        <v>0</v>
      </c>
    </row>
    <row r="275" spans="15:15" x14ac:dyDescent="0.25">
      <c r="O275" s="98">
        <f t="shared" si="4"/>
        <v>0</v>
      </c>
    </row>
    <row r="276" spans="15:15" x14ac:dyDescent="0.25">
      <c r="O276" s="98">
        <f t="shared" si="4"/>
        <v>0</v>
      </c>
    </row>
    <row r="277" spans="15:15" x14ac:dyDescent="0.25">
      <c r="O277" s="98">
        <f t="shared" si="4"/>
        <v>0</v>
      </c>
    </row>
    <row r="278" spans="15:15" x14ac:dyDescent="0.25">
      <c r="O278" s="98">
        <f t="shared" si="4"/>
        <v>0</v>
      </c>
    </row>
    <row r="279" spans="15:15" x14ac:dyDescent="0.25">
      <c r="O279" s="98">
        <f t="shared" si="4"/>
        <v>0</v>
      </c>
    </row>
    <row r="280" spans="15:15" x14ac:dyDescent="0.25">
      <c r="O280" s="98">
        <f t="shared" si="4"/>
        <v>0</v>
      </c>
    </row>
    <row r="281" spans="15:15" x14ac:dyDescent="0.25">
      <c r="O281" s="98">
        <f t="shared" si="4"/>
        <v>0</v>
      </c>
    </row>
    <row r="282" spans="15:15" x14ac:dyDescent="0.25">
      <c r="O282" s="98">
        <f t="shared" si="4"/>
        <v>0</v>
      </c>
    </row>
    <row r="283" spans="15:15" x14ac:dyDescent="0.25">
      <c r="O283" s="98">
        <f t="shared" si="4"/>
        <v>0</v>
      </c>
    </row>
    <row r="284" spans="15:15" x14ac:dyDescent="0.25">
      <c r="O284" s="98">
        <f t="shared" si="4"/>
        <v>0</v>
      </c>
    </row>
    <row r="285" spans="15:15" x14ac:dyDescent="0.25">
      <c r="O285" s="98">
        <f t="shared" si="4"/>
        <v>0</v>
      </c>
    </row>
    <row r="286" spans="15:15" x14ac:dyDescent="0.25">
      <c r="O286" s="98">
        <f t="shared" si="4"/>
        <v>0</v>
      </c>
    </row>
    <row r="287" spans="15:15" x14ac:dyDescent="0.25">
      <c r="O287" s="98">
        <f t="shared" si="4"/>
        <v>0</v>
      </c>
    </row>
    <row r="288" spans="15:15" x14ac:dyDescent="0.25">
      <c r="O288" s="98">
        <f t="shared" si="4"/>
        <v>0</v>
      </c>
    </row>
    <row r="289" spans="15:15" x14ac:dyDescent="0.25">
      <c r="O289" s="98">
        <f t="shared" si="4"/>
        <v>0</v>
      </c>
    </row>
    <row r="290" spans="15:15" x14ac:dyDescent="0.25">
      <c r="O290" s="98">
        <f t="shared" si="4"/>
        <v>0</v>
      </c>
    </row>
    <row r="291" spans="15:15" x14ac:dyDescent="0.25">
      <c r="O291" s="98">
        <f t="shared" si="4"/>
        <v>0</v>
      </c>
    </row>
    <row r="292" spans="15:15" x14ac:dyDescent="0.25">
      <c r="O292" s="98">
        <f t="shared" si="4"/>
        <v>0</v>
      </c>
    </row>
    <row r="293" spans="15:15" x14ac:dyDescent="0.25">
      <c r="O293" s="98">
        <f t="shared" si="4"/>
        <v>0</v>
      </c>
    </row>
    <row r="294" spans="15:15" x14ac:dyDescent="0.25">
      <c r="O294" s="98">
        <f t="shared" si="4"/>
        <v>0</v>
      </c>
    </row>
    <row r="295" spans="15:15" x14ac:dyDescent="0.25">
      <c r="O295" s="98">
        <f t="shared" si="4"/>
        <v>0</v>
      </c>
    </row>
    <row r="296" spans="15:15" x14ac:dyDescent="0.25">
      <c r="O296" s="98">
        <f t="shared" si="4"/>
        <v>0</v>
      </c>
    </row>
    <row r="297" spans="15:15" x14ac:dyDescent="0.25">
      <c r="O297" s="98">
        <f t="shared" si="4"/>
        <v>0</v>
      </c>
    </row>
    <row r="298" spans="15:15" x14ac:dyDescent="0.25">
      <c r="O298" s="98">
        <f t="shared" si="4"/>
        <v>0</v>
      </c>
    </row>
    <row r="299" spans="15:15" x14ac:dyDescent="0.25">
      <c r="O299" s="98">
        <f t="shared" si="4"/>
        <v>0</v>
      </c>
    </row>
    <row r="300" spans="15:15" x14ac:dyDescent="0.25">
      <c r="O300" s="98">
        <f t="shared" si="4"/>
        <v>0</v>
      </c>
    </row>
    <row r="301" spans="15:15" x14ac:dyDescent="0.25">
      <c r="O301" s="98">
        <f t="shared" si="4"/>
        <v>0</v>
      </c>
    </row>
    <row r="302" spans="15:15" x14ac:dyDescent="0.25">
      <c r="O302" s="98">
        <f t="shared" si="4"/>
        <v>0</v>
      </c>
    </row>
    <row r="303" spans="15:15" x14ac:dyDescent="0.25">
      <c r="O303" s="98">
        <f t="shared" si="4"/>
        <v>0</v>
      </c>
    </row>
    <row r="304" spans="15:15" x14ac:dyDescent="0.25">
      <c r="O304" s="98">
        <f t="shared" si="4"/>
        <v>0</v>
      </c>
    </row>
    <row r="305" spans="15:15" x14ac:dyDescent="0.25">
      <c r="O305" s="98">
        <f t="shared" si="4"/>
        <v>0</v>
      </c>
    </row>
    <row r="306" spans="15:15" x14ac:dyDescent="0.25">
      <c r="O306" s="98">
        <f t="shared" si="4"/>
        <v>0</v>
      </c>
    </row>
    <row r="307" spans="15:15" x14ac:dyDescent="0.25">
      <c r="O307" s="98">
        <f t="shared" si="4"/>
        <v>0</v>
      </c>
    </row>
    <row r="308" spans="15:15" x14ac:dyDescent="0.25">
      <c r="O308" s="98">
        <f t="shared" si="4"/>
        <v>0</v>
      </c>
    </row>
    <row r="309" spans="15:15" x14ac:dyDescent="0.25">
      <c r="O309" s="98">
        <f t="shared" si="4"/>
        <v>0</v>
      </c>
    </row>
    <row r="310" spans="15:15" x14ac:dyDescent="0.25">
      <c r="O310" s="98">
        <f t="shared" si="4"/>
        <v>0</v>
      </c>
    </row>
    <row r="311" spans="15:15" x14ac:dyDescent="0.25">
      <c r="O311" s="98">
        <f t="shared" si="4"/>
        <v>0</v>
      </c>
    </row>
    <row r="312" spans="15:15" x14ac:dyDescent="0.25">
      <c r="O312" s="98">
        <f t="shared" si="4"/>
        <v>0</v>
      </c>
    </row>
    <row r="313" spans="15:15" x14ac:dyDescent="0.25">
      <c r="O313" s="98">
        <f t="shared" si="4"/>
        <v>0</v>
      </c>
    </row>
    <row r="314" spans="15:15" x14ac:dyDescent="0.25">
      <c r="O314" s="98">
        <f t="shared" si="4"/>
        <v>0</v>
      </c>
    </row>
    <row r="315" spans="15:15" x14ac:dyDescent="0.25">
      <c r="O315" s="98">
        <f t="shared" si="4"/>
        <v>0</v>
      </c>
    </row>
    <row r="316" spans="15:15" x14ac:dyDescent="0.25">
      <c r="O316" s="98">
        <f t="shared" si="4"/>
        <v>0</v>
      </c>
    </row>
    <row r="317" spans="15:15" x14ac:dyDescent="0.25">
      <c r="O317" s="98">
        <f t="shared" si="4"/>
        <v>0</v>
      </c>
    </row>
    <row r="318" spans="15:15" x14ac:dyDescent="0.25">
      <c r="O318" s="98">
        <f t="shared" si="4"/>
        <v>0</v>
      </c>
    </row>
    <row r="319" spans="15:15" x14ac:dyDescent="0.25">
      <c r="O319" s="98">
        <f t="shared" si="4"/>
        <v>0</v>
      </c>
    </row>
    <row r="320" spans="15:15" x14ac:dyDescent="0.25">
      <c r="O320" s="98">
        <f t="shared" si="4"/>
        <v>0</v>
      </c>
    </row>
    <row r="321" spans="15:15" x14ac:dyDescent="0.25">
      <c r="O321" s="98">
        <f t="shared" si="4"/>
        <v>0</v>
      </c>
    </row>
    <row r="322" spans="15:15" x14ac:dyDescent="0.25">
      <c r="O322" s="98">
        <f t="shared" si="4"/>
        <v>0</v>
      </c>
    </row>
    <row r="323" spans="15:15" x14ac:dyDescent="0.25">
      <c r="O323" s="98">
        <f t="shared" si="4"/>
        <v>0</v>
      </c>
    </row>
    <row r="324" spans="15:15" x14ac:dyDescent="0.25">
      <c r="O324" s="98">
        <f t="shared" si="4"/>
        <v>0</v>
      </c>
    </row>
    <row r="325" spans="15:15" x14ac:dyDescent="0.25">
      <c r="O325" s="98">
        <f t="shared" si="4"/>
        <v>0</v>
      </c>
    </row>
    <row r="326" spans="15:15" x14ac:dyDescent="0.25">
      <c r="O326" s="98">
        <f t="shared" si="4"/>
        <v>0</v>
      </c>
    </row>
    <row r="327" spans="15:15" x14ac:dyDescent="0.25">
      <c r="O327" s="98">
        <f t="shared" si="4"/>
        <v>0</v>
      </c>
    </row>
    <row r="328" spans="15:15" x14ac:dyDescent="0.25">
      <c r="O328" s="98">
        <f t="shared" si="4"/>
        <v>0</v>
      </c>
    </row>
    <row r="329" spans="15:15" x14ac:dyDescent="0.25">
      <c r="O329" s="98">
        <f t="shared" si="4"/>
        <v>0</v>
      </c>
    </row>
    <row r="330" spans="15:15" x14ac:dyDescent="0.25">
      <c r="O330" s="98">
        <f t="shared" si="4"/>
        <v>0</v>
      </c>
    </row>
    <row r="331" spans="15:15" x14ac:dyDescent="0.25">
      <c r="O331" s="98">
        <f t="shared" si="4"/>
        <v>0</v>
      </c>
    </row>
    <row r="332" spans="15:15" x14ac:dyDescent="0.25">
      <c r="O332" s="98">
        <f t="shared" si="4"/>
        <v>0</v>
      </c>
    </row>
    <row r="333" spans="15:15" x14ac:dyDescent="0.25">
      <c r="O333" s="98">
        <f t="shared" si="4"/>
        <v>0</v>
      </c>
    </row>
    <row r="334" spans="15:15" x14ac:dyDescent="0.25">
      <c r="O334" s="98">
        <f t="shared" si="4"/>
        <v>0</v>
      </c>
    </row>
    <row r="335" spans="15:15" x14ac:dyDescent="0.25">
      <c r="O335" s="98">
        <f t="shared" si="4"/>
        <v>0</v>
      </c>
    </row>
    <row r="336" spans="15:15" x14ac:dyDescent="0.25">
      <c r="O336" s="98">
        <f t="shared" ref="O336:O399" si="5">IF(AND(K336&lt;&gt;0,K337=0),ROW(K336),0)</f>
        <v>0</v>
      </c>
    </row>
    <row r="337" spans="15:15" x14ac:dyDescent="0.25">
      <c r="O337" s="98">
        <f t="shared" si="5"/>
        <v>0</v>
      </c>
    </row>
    <row r="338" spans="15:15" x14ac:dyDescent="0.25">
      <c r="O338" s="98">
        <f t="shared" si="5"/>
        <v>0</v>
      </c>
    </row>
    <row r="339" spans="15:15" x14ac:dyDescent="0.25">
      <c r="O339" s="98">
        <f t="shared" si="5"/>
        <v>0</v>
      </c>
    </row>
    <row r="340" spans="15:15" x14ac:dyDescent="0.25">
      <c r="O340" s="98">
        <f t="shared" si="5"/>
        <v>0</v>
      </c>
    </row>
    <row r="341" spans="15:15" x14ac:dyDescent="0.25">
      <c r="O341" s="98">
        <f t="shared" si="5"/>
        <v>0</v>
      </c>
    </row>
    <row r="342" spans="15:15" x14ac:dyDescent="0.25">
      <c r="O342" s="98">
        <f t="shared" si="5"/>
        <v>0</v>
      </c>
    </row>
    <row r="343" spans="15:15" x14ac:dyDescent="0.25">
      <c r="O343" s="98">
        <f t="shared" si="5"/>
        <v>0</v>
      </c>
    </row>
    <row r="344" spans="15:15" x14ac:dyDescent="0.25">
      <c r="O344" s="98">
        <f t="shared" si="5"/>
        <v>0</v>
      </c>
    </row>
    <row r="345" spans="15:15" x14ac:dyDescent="0.25">
      <c r="O345" s="98">
        <f t="shared" si="5"/>
        <v>0</v>
      </c>
    </row>
    <row r="346" spans="15:15" x14ac:dyDescent="0.25">
      <c r="O346" s="98">
        <f t="shared" si="5"/>
        <v>0</v>
      </c>
    </row>
    <row r="347" spans="15:15" x14ac:dyDescent="0.25">
      <c r="O347" s="98">
        <f t="shared" si="5"/>
        <v>0</v>
      </c>
    </row>
    <row r="348" spans="15:15" x14ac:dyDescent="0.25">
      <c r="O348" s="98">
        <f t="shared" si="5"/>
        <v>0</v>
      </c>
    </row>
    <row r="349" spans="15:15" x14ac:dyDescent="0.25">
      <c r="O349" s="98">
        <f t="shared" si="5"/>
        <v>0</v>
      </c>
    </row>
    <row r="350" spans="15:15" x14ac:dyDescent="0.25">
      <c r="O350" s="98">
        <f t="shared" si="5"/>
        <v>0</v>
      </c>
    </row>
    <row r="351" spans="15:15" x14ac:dyDescent="0.25">
      <c r="O351" s="98">
        <f t="shared" si="5"/>
        <v>0</v>
      </c>
    </row>
    <row r="352" spans="15:15" x14ac:dyDescent="0.25">
      <c r="O352" s="98">
        <f t="shared" si="5"/>
        <v>0</v>
      </c>
    </row>
    <row r="353" spans="15:15" x14ac:dyDescent="0.25">
      <c r="O353" s="98">
        <f t="shared" si="5"/>
        <v>0</v>
      </c>
    </row>
    <row r="354" spans="15:15" x14ac:dyDescent="0.25">
      <c r="O354" s="98">
        <f t="shared" si="5"/>
        <v>0</v>
      </c>
    </row>
    <row r="355" spans="15:15" x14ac:dyDescent="0.25">
      <c r="O355" s="98">
        <f t="shared" si="5"/>
        <v>0</v>
      </c>
    </row>
    <row r="356" spans="15:15" x14ac:dyDescent="0.25">
      <c r="O356" s="98">
        <f t="shared" si="5"/>
        <v>0</v>
      </c>
    </row>
    <row r="357" spans="15:15" x14ac:dyDescent="0.25">
      <c r="O357" s="98">
        <f t="shared" si="5"/>
        <v>0</v>
      </c>
    </row>
    <row r="358" spans="15:15" x14ac:dyDescent="0.25">
      <c r="O358" s="98">
        <f t="shared" si="5"/>
        <v>0</v>
      </c>
    </row>
    <row r="359" spans="15:15" x14ac:dyDescent="0.25">
      <c r="O359" s="98">
        <f t="shared" si="5"/>
        <v>0</v>
      </c>
    </row>
    <row r="360" spans="15:15" x14ac:dyDescent="0.25">
      <c r="O360" s="98">
        <f t="shared" si="5"/>
        <v>0</v>
      </c>
    </row>
    <row r="361" spans="15:15" x14ac:dyDescent="0.25">
      <c r="O361" s="98">
        <f t="shared" si="5"/>
        <v>0</v>
      </c>
    </row>
    <row r="362" spans="15:15" x14ac:dyDescent="0.25">
      <c r="O362" s="98">
        <f t="shared" si="5"/>
        <v>0</v>
      </c>
    </row>
    <row r="363" spans="15:15" x14ac:dyDescent="0.25">
      <c r="O363" s="98">
        <f t="shared" si="5"/>
        <v>0</v>
      </c>
    </row>
    <row r="364" spans="15:15" x14ac:dyDescent="0.25">
      <c r="O364" s="98">
        <f t="shared" si="5"/>
        <v>0</v>
      </c>
    </row>
    <row r="365" spans="15:15" x14ac:dyDescent="0.25">
      <c r="O365" s="98">
        <f t="shared" si="5"/>
        <v>0</v>
      </c>
    </row>
    <row r="366" spans="15:15" x14ac:dyDescent="0.25">
      <c r="O366" s="98">
        <f t="shared" si="5"/>
        <v>0</v>
      </c>
    </row>
    <row r="367" spans="15:15" x14ac:dyDescent="0.25">
      <c r="O367" s="98">
        <f t="shared" si="5"/>
        <v>0</v>
      </c>
    </row>
    <row r="368" spans="15:15" x14ac:dyDescent="0.25">
      <c r="O368" s="98">
        <f t="shared" si="5"/>
        <v>0</v>
      </c>
    </row>
    <row r="369" spans="15:15" x14ac:dyDescent="0.25">
      <c r="O369" s="98">
        <f t="shared" si="5"/>
        <v>0</v>
      </c>
    </row>
    <row r="370" spans="15:15" x14ac:dyDescent="0.25">
      <c r="O370" s="98">
        <f t="shared" si="5"/>
        <v>0</v>
      </c>
    </row>
    <row r="371" spans="15:15" x14ac:dyDescent="0.25">
      <c r="O371" s="98">
        <f t="shared" si="5"/>
        <v>0</v>
      </c>
    </row>
    <row r="372" spans="15:15" x14ac:dyDescent="0.25">
      <c r="O372" s="98">
        <f t="shared" si="5"/>
        <v>0</v>
      </c>
    </row>
    <row r="373" spans="15:15" x14ac:dyDescent="0.25">
      <c r="O373" s="98">
        <f t="shared" si="5"/>
        <v>0</v>
      </c>
    </row>
    <row r="374" spans="15:15" x14ac:dyDescent="0.25">
      <c r="O374" s="98">
        <f t="shared" si="5"/>
        <v>0</v>
      </c>
    </row>
    <row r="375" spans="15:15" x14ac:dyDescent="0.25">
      <c r="O375" s="98">
        <f t="shared" si="5"/>
        <v>0</v>
      </c>
    </row>
    <row r="376" spans="15:15" x14ac:dyDescent="0.25">
      <c r="O376" s="98">
        <f t="shared" si="5"/>
        <v>0</v>
      </c>
    </row>
    <row r="377" spans="15:15" x14ac:dyDescent="0.25">
      <c r="O377" s="98">
        <f t="shared" si="5"/>
        <v>0</v>
      </c>
    </row>
    <row r="378" spans="15:15" x14ac:dyDescent="0.25">
      <c r="O378" s="98">
        <f t="shared" si="5"/>
        <v>0</v>
      </c>
    </row>
    <row r="379" spans="15:15" x14ac:dyDescent="0.25">
      <c r="O379" s="98">
        <f t="shared" si="5"/>
        <v>0</v>
      </c>
    </row>
    <row r="380" spans="15:15" x14ac:dyDescent="0.25">
      <c r="O380" s="98">
        <f t="shared" si="5"/>
        <v>0</v>
      </c>
    </row>
    <row r="381" spans="15:15" x14ac:dyDescent="0.25">
      <c r="O381" s="98">
        <f t="shared" si="5"/>
        <v>0</v>
      </c>
    </row>
    <row r="382" spans="15:15" x14ac:dyDescent="0.25">
      <c r="O382" s="98">
        <f t="shared" si="5"/>
        <v>0</v>
      </c>
    </row>
    <row r="383" spans="15:15" x14ac:dyDescent="0.25">
      <c r="O383" s="98">
        <f t="shared" si="5"/>
        <v>0</v>
      </c>
    </row>
    <row r="384" spans="15:15" x14ac:dyDescent="0.25">
      <c r="O384" s="98">
        <f t="shared" si="5"/>
        <v>0</v>
      </c>
    </row>
    <row r="385" spans="15:15" x14ac:dyDescent="0.25">
      <c r="O385" s="98">
        <f t="shared" si="5"/>
        <v>0</v>
      </c>
    </row>
    <row r="386" spans="15:15" x14ac:dyDescent="0.25">
      <c r="O386" s="98">
        <f t="shared" si="5"/>
        <v>0</v>
      </c>
    </row>
    <row r="387" spans="15:15" x14ac:dyDescent="0.25">
      <c r="O387" s="98">
        <f t="shared" si="5"/>
        <v>0</v>
      </c>
    </row>
    <row r="388" spans="15:15" x14ac:dyDescent="0.25">
      <c r="O388" s="98">
        <f t="shared" si="5"/>
        <v>0</v>
      </c>
    </row>
    <row r="389" spans="15:15" x14ac:dyDescent="0.25">
      <c r="O389" s="98">
        <f t="shared" si="5"/>
        <v>0</v>
      </c>
    </row>
    <row r="390" spans="15:15" x14ac:dyDescent="0.25">
      <c r="O390" s="98">
        <f t="shared" si="5"/>
        <v>0</v>
      </c>
    </row>
    <row r="391" spans="15:15" x14ac:dyDescent="0.25">
      <c r="O391" s="98">
        <f t="shared" si="5"/>
        <v>0</v>
      </c>
    </row>
    <row r="392" spans="15:15" x14ac:dyDescent="0.25">
      <c r="O392" s="98">
        <f t="shared" si="5"/>
        <v>0</v>
      </c>
    </row>
    <row r="393" spans="15:15" x14ac:dyDescent="0.25">
      <c r="O393" s="98">
        <f t="shared" si="5"/>
        <v>0</v>
      </c>
    </row>
    <row r="394" spans="15:15" x14ac:dyDescent="0.25">
      <c r="O394" s="98">
        <f t="shared" si="5"/>
        <v>0</v>
      </c>
    </row>
    <row r="395" spans="15:15" x14ac:dyDescent="0.25">
      <c r="O395" s="98">
        <f t="shared" si="5"/>
        <v>0</v>
      </c>
    </row>
    <row r="396" spans="15:15" x14ac:dyDescent="0.25">
      <c r="O396" s="98">
        <f t="shared" si="5"/>
        <v>0</v>
      </c>
    </row>
    <row r="397" spans="15:15" x14ac:dyDescent="0.25">
      <c r="O397" s="98">
        <f t="shared" si="5"/>
        <v>0</v>
      </c>
    </row>
    <row r="398" spans="15:15" x14ac:dyDescent="0.25">
      <c r="O398" s="98">
        <f t="shared" si="5"/>
        <v>0</v>
      </c>
    </row>
    <row r="399" spans="15:15" x14ac:dyDescent="0.25">
      <c r="O399" s="98">
        <f t="shared" si="5"/>
        <v>0</v>
      </c>
    </row>
    <row r="400" spans="15:15" x14ac:dyDescent="0.25">
      <c r="O400" s="98">
        <f t="shared" ref="O400:O463" si="6">IF(AND(K400&lt;&gt;0,K401=0),ROW(K400),0)</f>
        <v>0</v>
      </c>
    </row>
    <row r="401" spans="15:15" x14ac:dyDescent="0.25">
      <c r="O401" s="98">
        <f t="shared" si="6"/>
        <v>0</v>
      </c>
    </row>
    <row r="402" spans="15:15" x14ac:dyDescent="0.25">
      <c r="O402" s="98">
        <f t="shared" si="6"/>
        <v>0</v>
      </c>
    </row>
    <row r="403" spans="15:15" x14ac:dyDescent="0.25">
      <c r="O403" s="98">
        <f t="shared" si="6"/>
        <v>0</v>
      </c>
    </row>
    <row r="404" spans="15:15" x14ac:dyDescent="0.25">
      <c r="O404" s="98">
        <f t="shared" si="6"/>
        <v>0</v>
      </c>
    </row>
    <row r="405" spans="15:15" x14ac:dyDescent="0.25">
      <c r="O405" s="98">
        <f t="shared" si="6"/>
        <v>0</v>
      </c>
    </row>
    <row r="406" spans="15:15" x14ac:dyDescent="0.25">
      <c r="O406" s="98">
        <f t="shared" si="6"/>
        <v>0</v>
      </c>
    </row>
    <row r="407" spans="15:15" x14ac:dyDescent="0.25">
      <c r="O407" s="98">
        <f t="shared" si="6"/>
        <v>0</v>
      </c>
    </row>
    <row r="408" spans="15:15" x14ac:dyDescent="0.25">
      <c r="O408" s="98">
        <f t="shared" si="6"/>
        <v>0</v>
      </c>
    </row>
    <row r="409" spans="15:15" x14ac:dyDescent="0.25">
      <c r="O409" s="98">
        <f t="shared" si="6"/>
        <v>0</v>
      </c>
    </row>
    <row r="410" spans="15:15" x14ac:dyDescent="0.25">
      <c r="O410" s="98">
        <f t="shared" si="6"/>
        <v>0</v>
      </c>
    </row>
    <row r="411" spans="15:15" x14ac:dyDescent="0.25">
      <c r="O411" s="98">
        <f t="shared" si="6"/>
        <v>0</v>
      </c>
    </row>
    <row r="412" spans="15:15" x14ac:dyDescent="0.25">
      <c r="O412" s="98">
        <f t="shared" si="6"/>
        <v>0</v>
      </c>
    </row>
    <row r="413" spans="15:15" x14ac:dyDescent="0.25">
      <c r="O413" s="98">
        <f t="shared" si="6"/>
        <v>0</v>
      </c>
    </row>
    <row r="414" spans="15:15" x14ac:dyDescent="0.25">
      <c r="O414" s="98">
        <f t="shared" si="6"/>
        <v>0</v>
      </c>
    </row>
    <row r="415" spans="15:15" x14ac:dyDescent="0.25">
      <c r="O415" s="98">
        <f t="shared" si="6"/>
        <v>0</v>
      </c>
    </row>
    <row r="416" spans="15:15" x14ac:dyDescent="0.25">
      <c r="O416" s="98">
        <f t="shared" si="6"/>
        <v>0</v>
      </c>
    </row>
    <row r="417" spans="15:15" x14ac:dyDescent="0.25">
      <c r="O417" s="98">
        <f t="shared" si="6"/>
        <v>0</v>
      </c>
    </row>
    <row r="418" spans="15:15" x14ac:dyDescent="0.25">
      <c r="O418" s="98">
        <f t="shared" si="6"/>
        <v>0</v>
      </c>
    </row>
    <row r="419" spans="15:15" x14ac:dyDescent="0.25">
      <c r="O419" s="98">
        <f t="shared" si="6"/>
        <v>0</v>
      </c>
    </row>
    <row r="420" spans="15:15" x14ac:dyDescent="0.25">
      <c r="O420" s="98">
        <f t="shared" si="6"/>
        <v>0</v>
      </c>
    </row>
    <row r="421" spans="15:15" x14ac:dyDescent="0.25">
      <c r="O421" s="98">
        <f t="shared" si="6"/>
        <v>0</v>
      </c>
    </row>
    <row r="422" spans="15:15" x14ac:dyDescent="0.25">
      <c r="O422" s="98">
        <f t="shared" si="6"/>
        <v>0</v>
      </c>
    </row>
    <row r="423" spans="15:15" x14ac:dyDescent="0.25">
      <c r="O423" s="98">
        <f t="shared" si="6"/>
        <v>0</v>
      </c>
    </row>
    <row r="424" spans="15:15" x14ac:dyDescent="0.25">
      <c r="O424" s="98">
        <f t="shared" si="6"/>
        <v>0</v>
      </c>
    </row>
    <row r="425" spans="15:15" x14ac:dyDescent="0.25">
      <c r="O425" s="98">
        <f t="shared" si="6"/>
        <v>0</v>
      </c>
    </row>
    <row r="426" spans="15:15" x14ac:dyDescent="0.25">
      <c r="O426" s="98">
        <f t="shared" si="6"/>
        <v>0</v>
      </c>
    </row>
    <row r="427" spans="15:15" x14ac:dyDescent="0.25">
      <c r="O427" s="98">
        <f t="shared" si="6"/>
        <v>0</v>
      </c>
    </row>
    <row r="428" spans="15:15" x14ac:dyDescent="0.25">
      <c r="O428" s="98">
        <f t="shared" si="6"/>
        <v>0</v>
      </c>
    </row>
    <row r="429" spans="15:15" x14ac:dyDescent="0.25">
      <c r="O429" s="98">
        <f t="shared" si="6"/>
        <v>0</v>
      </c>
    </row>
    <row r="430" spans="15:15" x14ac:dyDescent="0.25">
      <c r="O430" s="98">
        <f t="shared" si="6"/>
        <v>0</v>
      </c>
    </row>
    <row r="431" spans="15:15" x14ac:dyDescent="0.25">
      <c r="O431" s="98">
        <f t="shared" si="6"/>
        <v>0</v>
      </c>
    </row>
    <row r="432" spans="15:15" x14ac:dyDescent="0.25">
      <c r="O432" s="98">
        <f t="shared" si="6"/>
        <v>0</v>
      </c>
    </row>
    <row r="433" spans="15:15" x14ac:dyDescent="0.25">
      <c r="O433" s="98">
        <f t="shared" si="6"/>
        <v>0</v>
      </c>
    </row>
    <row r="434" spans="15:15" x14ac:dyDescent="0.25">
      <c r="O434" s="98">
        <f t="shared" si="6"/>
        <v>0</v>
      </c>
    </row>
    <row r="435" spans="15:15" x14ac:dyDescent="0.25">
      <c r="O435" s="98">
        <f t="shared" si="6"/>
        <v>0</v>
      </c>
    </row>
    <row r="436" spans="15:15" x14ac:dyDescent="0.25">
      <c r="O436" s="98">
        <f t="shared" si="6"/>
        <v>0</v>
      </c>
    </row>
    <row r="437" spans="15:15" x14ac:dyDescent="0.25">
      <c r="O437" s="98">
        <f t="shared" si="6"/>
        <v>0</v>
      </c>
    </row>
    <row r="438" spans="15:15" x14ac:dyDescent="0.25">
      <c r="O438" s="98">
        <f t="shared" si="6"/>
        <v>0</v>
      </c>
    </row>
    <row r="439" spans="15:15" x14ac:dyDescent="0.25">
      <c r="O439" s="98">
        <f t="shared" si="6"/>
        <v>0</v>
      </c>
    </row>
    <row r="440" spans="15:15" x14ac:dyDescent="0.25">
      <c r="O440" s="98">
        <f t="shared" si="6"/>
        <v>0</v>
      </c>
    </row>
    <row r="441" spans="15:15" x14ac:dyDescent="0.25">
      <c r="O441" s="98">
        <f t="shared" si="6"/>
        <v>0</v>
      </c>
    </row>
    <row r="442" spans="15:15" x14ac:dyDescent="0.25">
      <c r="O442" s="98">
        <f t="shared" si="6"/>
        <v>0</v>
      </c>
    </row>
    <row r="443" spans="15:15" x14ac:dyDescent="0.25">
      <c r="O443" s="98">
        <f t="shared" si="6"/>
        <v>0</v>
      </c>
    </row>
    <row r="444" spans="15:15" x14ac:dyDescent="0.25">
      <c r="O444" s="98">
        <f t="shared" si="6"/>
        <v>0</v>
      </c>
    </row>
    <row r="445" spans="15:15" x14ac:dyDescent="0.25">
      <c r="O445" s="98">
        <f t="shared" si="6"/>
        <v>0</v>
      </c>
    </row>
    <row r="446" spans="15:15" x14ac:dyDescent="0.25">
      <c r="O446" s="98">
        <f t="shared" si="6"/>
        <v>0</v>
      </c>
    </row>
    <row r="447" spans="15:15" x14ac:dyDescent="0.25">
      <c r="O447" s="98">
        <f t="shared" si="6"/>
        <v>0</v>
      </c>
    </row>
    <row r="448" spans="15:15" x14ac:dyDescent="0.25">
      <c r="O448" s="98">
        <f t="shared" si="6"/>
        <v>0</v>
      </c>
    </row>
    <row r="449" spans="15:15" x14ac:dyDescent="0.25">
      <c r="O449" s="98">
        <f t="shared" si="6"/>
        <v>0</v>
      </c>
    </row>
    <row r="450" spans="15:15" x14ac:dyDescent="0.25">
      <c r="O450" s="98">
        <f t="shared" si="6"/>
        <v>0</v>
      </c>
    </row>
    <row r="451" spans="15:15" x14ac:dyDescent="0.25">
      <c r="O451" s="98">
        <f t="shared" si="6"/>
        <v>0</v>
      </c>
    </row>
    <row r="452" spans="15:15" x14ac:dyDescent="0.25">
      <c r="O452" s="98">
        <f t="shared" si="6"/>
        <v>0</v>
      </c>
    </row>
    <row r="453" spans="15:15" x14ac:dyDescent="0.25">
      <c r="O453" s="98">
        <f t="shared" si="6"/>
        <v>0</v>
      </c>
    </row>
    <row r="454" spans="15:15" x14ac:dyDescent="0.25">
      <c r="O454" s="98">
        <f t="shared" si="6"/>
        <v>0</v>
      </c>
    </row>
    <row r="455" spans="15:15" x14ac:dyDescent="0.25">
      <c r="O455" s="98">
        <f t="shared" si="6"/>
        <v>0</v>
      </c>
    </row>
    <row r="456" spans="15:15" x14ac:dyDescent="0.25">
      <c r="O456" s="98">
        <f t="shared" si="6"/>
        <v>0</v>
      </c>
    </row>
    <row r="457" spans="15:15" x14ac:dyDescent="0.25">
      <c r="O457" s="98">
        <f t="shared" si="6"/>
        <v>0</v>
      </c>
    </row>
    <row r="458" spans="15:15" x14ac:dyDescent="0.25">
      <c r="O458" s="98">
        <f t="shared" si="6"/>
        <v>0</v>
      </c>
    </row>
    <row r="459" spans="15:15" x14ac:dyDescent="0.25">
      <c r="O459" s="98">
        <f t="shared" si="6"/>
        <v>0</v>
      </c>
    </row>
    <row r="460" spans="15:15" x14ac:dyDescent="0.25">
      <c r="O460" s="98">
        <f t="shared" si="6"/>
        <v>0</v>
      </c>
    </row>
    <row r="461" spans="15:15" x14ac:dyDescent="0.25">
      <c r="O461" s="98">
        <f t="shared" si="6"/>
        <v>0</v>
      </c>
    </row>
    <row r="462" spans="15:15" x14ac:dyDescent="0.25">
      <c r="O462" s="98">
        <f t="shared" si="6"/>
        <v>0</v>
      </c>
    </row>
    <row r="463" spans="15:15" x14ac:dyDescent="0.25">
      <c r="O463" s="98">
        <f t="shared" si="6"/>
        <v>0</v>
      </c>
    </row>
    <row r="464" spans="15:15" x14ac:dyDescent="0.25">
      <c r="O464" s="98">
        <f t="shared" ref="O464:O527" si="7">IF(AND(K464&lt;&gt;0,K465=0),ROW(K464),0)</f>
        <v>0</v>
      </c>
    </row>
    <row r="465" spans="15:15" x14ac:dyDescent="0.25">
      <c r="O465" s="98">
        <f t="shared" si="7"/>
        <v>0</v>
      </c>
    </row>
    <row r="466" spans="15:15" x14ac:dyDescent="0.25">
      <c r="O466" s="98">
        <f t="shared" si="7"/>
        <v>0</v>
      </c>
    </row>
    <row r="467" spans="15:15" x14ac:dyDescent="0.25">
      <c r="O467" s="98">
        <f t="shared" si="7"/>
        <v>0</v>
      </c>
    </row>
    <row r="468" spans="15:15" x14ac:dyDescent="0.25">
      <c r="O468" s="98">
        <f t="shared" si="7"/>
        <v>0</v>
      </c>
    </row>
    <row r="469" spans="15:15" x14ac:dyDescent="0.25">
      <c r="O469" s="98">
        <f t="shared" si="7"/>
        <v>0</v>
      </c>
    </row>
    <row r="470" spans="15:15" x14ac:dyDescent="0.25">
      <c r="O470" s="98">
        <f t="shared" si="7"/>
        <v>0</v>
      </c>
    </row>
    <row r="471" spans="15:15" x14ac:dyDescent="0.25">
      <c r="O471" s="98">
        <f t="shared" si="7"/>
        <v>0</v>
      </c>
    </row>
    <row r="472" spans="15:15" x14ac:dyDescent="0.25">
      <c r="O472" s="98">
        <f t="shared" si="7"/>
        <v>0</v>
      </c>
    </row>
    <row r="473" spans="15:15" x14ac:dyDescent="0.25">
      <c r="O473" s="98">
        <f t="shared" si="7"/>
        <v>0</v>
      </c>
    </row>
    <row r="474" spans="15:15" x14ac:dyDescent="0.25">
      <c r="O474" s="98">
        <f t="shared" si="7"/>
        <v>0</v>
      </c>
    </row>
    <row r="475" spans="15:15" x14ac:dyDescent="0.25">
      <c r="O475" s="98">
        <f t="shared" si="7"/>
        <v>0</v>
      </c>
    </row>
    <row r="476" spans="15:15" x14ac:dyDescent="0.25">
      <c r="O476" s="98">
        <f t="shared" si="7"/>
        <v>0</v>
      </c>
    </row>
    <row r="477" spans="15:15" x14ac:dyDescent="0.25">
      <c r="O477" s="98">
        <f t="shared" si="7"/>
        <v>0</v>
      </c>
    </row>
    <row r="478" spans="15:15" x14ac:dyDescent="0.25">
      <c r="O478" s="98">
        <f t="shared" si="7"/>
        <v>0</v>
      </c>
    </row>
    <row r="479" spans="15:15" x14ac:dyDescent="0.25">
      <c r="O479" s="98">
        <f t="shared" si="7"/>
        <v>0</v>
      </c>
    </row>
    <row r="480" spans="15:15" x14ac:dyDescent="0.25">
      <c r="O480" s="98">
        <f t="shared" si="7"/>
        <v>0</v>
      </c>
    </row>
    <row r="481" spans="15:15" x14ac:dyDescent="0.25">
      <c r="O481" s="98">
        <f t="shared" si="7"/>
        <v>0</v>
      </c>
    </row>
    <row r="482" spans="15:15" x14ac:dyDescent="0.25">
      <c r="O482" s="98">
        <f t="shared" si="7"/>
        <v>0</v>
      </c>
    </row>
    <row r="483" spans="15:15" x14ac:dyDescent="0.25">
      <c r="O483" s="98">
        <f t="shared" si="7"/>
        <v>0</v>
      </c>
    </row>
    <row r="484" spans="15:15" x14ac:dyDescent="0.25">
      <c r="O484" s="98">
        <f t="shared" si="7"/>
        <v>0</v>
      </c>
    </row>
    <row r="485" spans="15:15" x14ac:dyDescent="0.25">
      <c r="O485" s="98">
        <f t="shared" si="7"/>
        <v>0</v>
      </c>
    </row>
    <row r="486" spans="15:15" x14ac:dyDescent="0.25">
      <c r="O486" s="98">
        <f t="shared" si="7"/>
        <v>0</v>
      </c>
    </row>
    <row r="487" spans="15:15" x14ac:dyDescent="0.25">
      <c r="O487" s="98">
        <f t="shared" si="7"/>
        <v>0</v>
      </c>
    </row>
    <row r="488" spans="15:15" x14ac:dyDescent="0.25">
      <c r="O488" s="98">
        <f t="shared" si="7"/>
        <v>0</v>
      </c>
    </row>
    <row r="489" spans="15:15" x14ac:dyDescent="0.25">
      <c r="O489" s="98">
        <f t="shared" si="7"/>
        <v>0</v>
      </c>
    </row>
    <row r="490" spans="15:15" x14ac:dyDescent="0.25">
      <c r="O490" s="98">
        <f t="shared" si="7"/>
        <v>0</v>
      </c>
    </row>
    <row r="491" spans="15:15" x14ac:dyDescent="0.25">
      <c r="O491" s="98">
        <f t="shared" si="7"/>
        <v>0</v>
      </c>
    </row>
    <row r="492" spans="15:15" x14ac:dyDescent="0.25">
      <c r="O492" s="98">
        <f t="shared" si="7"/>
        <v>0</v>
      </c>
    </row>
    <row r="493" spans="15:15" x14ac:dyDescent="0.25">
      <c r="O493" s="98">
        <f t="shared" si="7"/>
        <v>0</v>
      </c>
    </row>
    <row r="494" spans="15:15" x14ac:dyDescent="0.25">
      <c r="O494" s="98">
        <f t="shared" si="7"/>
        <v>0</v>
      </c>
    </row>
    <row r="495" spans="15:15" x14ac:dyDescent="0.25">
      <c r="O495" s="98">
        <f t="shared" si="7"/>
        <v>0</v>
      </c>
    </row>
    <row r="496" spans="15:15" x14ac:dyDescent="0.25">
      <c r="O496" s="98">
        <f t="shared" si="7"/>
        <v>0</v>
      </c>
    </row>
    <row r="497" spans="15:15" x14ac:dyDescent="0.25">
      <c r="O497" s="98">
        <f t="shared" si="7"/>
        <v>0</v>
      </c>
    </row>
    <row r="498" spans="15:15" x14ac:dyDescent="0.25">
      <c r="O498" s="98">
        <f t="shared" si="7"/>
        <v>0</v>
      </c>
    </row>
    <row r="499" spans="15:15" x14ac:dyDescent="0.25">
      <c r="O499" s="98">
        <f t="shared" si="7"/>
        <v>0</v>
      </c>
    </row>
    <row r="500" spans="15:15" x14ac:dyDescent="0.25">
      <c r="O500" s="98">
        <f t="shared" si="7"/>
        <v>0</v>
      </c>
    </row>
    <row r="501" spans="15:15" x14ac:dyDescent="0.25">
      <c r="O501" s="98">
        <f t="shared" si="7"/>
        <v>0</v>
      </c>
    </row>
    <row r="502" spans="15:15" x14ac:dyDescent="0.25">
      <c r="O502" s="98">
        <f t="shared" si="7"/>
        <v>0</v>
      </c>
    </row>
    <row r="503" spans="15:15" x14ac:dyDescent="0.25">
      <c r="O503" s="98">
        <f t="shared" si="7"/>
        <v>0</v>
      </c>
    </row>
    <row r="504" spans="15:15" x14ac:dyDescent="0.25">
      <c r="O504" s="98">
        <f t="shared" si="7"/>
        <v>0</v>
      </c>
    </row>
    <row r="505" spans="15:15" x14ac:dyDescent="0.25">
      <c r="O505" s="98">
        <f t="shared" si="7"/>
        <v>0</v>
      </c>
    </row>
    <row r="506" spans="15:15" x14ac:dyDescent="0.25">
      <c r="O506" s="98">
        <f t="shared" si="7"/>
        <v>0</v>
      </c>
    </row>
    <row r="507" spans="15:15" x14ac:dyDescent="0.25">
      <c r="O507" s="98">
        <f t="shared" si="7"/>
        <v>0</v>
      </c>
    </row>
    <row r="508" spans="15:15" x14ac:dyDescent="0.25">
      <c r="O508" s="98">
        <f t="shared" si="7"/>
        <v>0</v>
      </c>
    </row>
    <row r="509" spans="15:15" x14ac:dyDescent="0.25">
      <c r="O509" s="98">
        <f t="shared" si="7"/>
        <v>0</v>
      </c>
    </row>
    <row r="510" spans="15:15" x14ac:dyDescent="0.25">
      <c r="O510" s="98">
        <f t="shared" si="7"/>
        <v>0</v>
      </c>
    </row>
    <row r="511" spans="15:15" x14ac:dyDescent="0.25">
      <c r="O511" s="98">
        <f t="shared" si="7"/>
        <v>0</v>
      </c>
    </row>
    <row r="512" spans="15:15" x14ac:dyDescent="0.25">
      <c r="O512" s="98">
        <f t="shared" si="7"/>
        <v>0</v>
      </c>
    </row>
    <row r="513" spans="15:15" x14ac:dyDescent="0.25">
      <c r="O513" s="98">
        <f t="shared" si="7"/>
        <v>0</v>
      </c>
    </row>
    <row r="514" spans="15:15" x14ac:dyDescent="0.25">
      <c r="O514" s="98">
        <f t="shared" si="7"/>
        <v>0</v>
      </c>
    </row>
    <row r="515" spans="15:15" x14ac:dyDescent="0.25">
      <c r="O515" s="98">
        <f t="shared" si="7"/>
        <v>0</v>
      </c>
    </row>
    <row r="516" spans="15:15" x14ac:dyDescent="0.25">
      <c r="O516" s="98">
        <f t="shared" si="7"/>
        <v>0</v>
      </c>
    </row>
    <row r="517" spans="15:15" x14ac:dyDescent="0.25">
      <c r="O517" s="98">
        <f t="shared" si="7"/>
        <v>0</v>
      </c>
    </row>
    <row r="518" spans="15:15" x14ac:dyDescent="0.25">
      <c r="O518" s="98">
        <f t="shared" si="7"/>
        <v>0</v>
      </c>
    </row>
    <row r="519" spans="15:15" x14ac:dyDescent="0.25">
      <c r="O519" s="98">
        <f t="shared" si="7"/>
        <v>0</v>
      </c>
    </row>
    <row r="520" spans="15:15" x14ac:dyDescent="0.25">
      <c r="O520" s="98">
        <f t="shared" si="7"/>
        <v>0</v>
      </c>
    </row>
    <row r="521" spans="15:15" x14ac:dyDescent="0.25">
      <c r="O521" s="98">
        <f t="shared" si="7"/>
        <v>0</v>
      </c>
    </row>
    <row r="522" spans="15:15" x14ac:dyDescent="0.25">
      <c r="O522" s="98">
        <f t="shared" si="7"/>
        <v>0</v>
      </c>
    </row>
    <row r="523" spans="15:15" x14ac:dyDescent="0.25">
      <c r="O523" s="98">
        <f t="shared" si="7"/>
        <v>0</v>
      </c>
    </row>
    <row r="524" spans="15:15" x14ac:dyDescent="0.25">
      <c r="O524" s="98">
        <f t="shared" si="7"/>
        <v>0</v>
      </c>
    </row>
    <row r="525" spans="15:15" x14ac:dyDescent="0.25">
      <c r="O525" s="98">
        <f t="shared" si="7"/>
        <v>0</v>
      </c>
    </row>
    <row r="526" spans="15:15" x14ac:dyDescent="0.25">
      <c r="O526" s="98">
        <f t="shared" si="7"/>
        <v>0</v>
      </c>
    </row>
    <row r="527" spans="15:15" x14ac:dyDescent="0.25">
      <c r="O527" s="98">
        <f t="shared" si="7"/>
        <v>0</v>
      </c>
    </row>
    <row r="528" spans="15:15" x14ac:dyDescent="0.25">
      <c r="O528" s="98">
        <f t="shared" ref="O528:O591" si="8">IF(AND(K528&lt;&gt;0,K529=0),ROW(K528),0)</f>
        <v>0</v>
      </c>
    </row>
    <row r="529" spans="15:15" x14ac:dyDescent="0.25">
      <c r="O529" s="98">
        <f t="shared" si="8"/>
        <v>0</v>
      </c>
    </row>
    <row r="530" spans="15:15" x14ac:dyDescent="0.25">
      <c r="O530" s="98">
        <f t="shared" si="8"/>
        <v>0</v>
      </c>
    </row>
    <row r="531" spans="15:15" x14ac:dyDescent="0.25">
      <c r="O531" s="98">
        <f t="shared" si="8"/>
        <v>0</v>
      </c>
    </row>
    <row r="532" spans="15:15" x14ac:dyDescent="0.25">
      <c r="O532" s="98">
        <f t="shared" si="8"/>
        <v>0</v>
      </c>
    </row>
    <row r="533" spans="15:15" x14ac:dyDescent="0.25">
      <c r="O533" s="98">
        <f t="shared" si="8"/>
        <v>0</v>
      </c>
    </row>
    <row r="534" spans="15:15" x14ac:dyDescent="0.25">
      <c r="O534" s="98">
        <f t="shared" si="8"/>
        <v>0</v>
      </c>
    </row>
    <row r="535" spans="15:15" x14ac:dyDescent="0.25">
      <c r="O535" s="98">
        <f t="shared" si="8"/>
        <v>0</v>
      </c>
    </row>
    <row r="536" spans="15:15" x14ac:dyDescent="0.25">
      <c r="O536" s="98">
        <f t="shared" si="8"/>
        <v>0</v>
      </c>
    </row>
    <row r="537" spans="15:15" x14ac:dyDescent="0.25">
      <c r="O537" s="98">
        <f t="shared" si="8"/>
        <v>0</v>
      </c>
    </row>
    <row r="538" spans="15:15" x14ac:dyDescent="0.25">
      <c r="O538" s="98">
        <f t="shared" si="8"/>
        <v>0</v>
      </c>
    </row>
    <row r="539" spans="15:15" x14ac:dyDescent="0.25">
      <c r="O539" s="98">
        <f t="shared" si="8"/>
        <v>0</v>
      </c>
    </row>
    <row r="540" spans="15:15" x14ac:dyDescent="0.25">
      <c r="O540" s="98">
        <f t="shared" si="8"/>
        <v>0</v>
      </c>
    </row>
    <row r="541" spans="15:15" x14ac:dyDescent="0.25">
      <c r="O541" s="98">
        <f t="shared" si="8"/>
        <v>0</v>
      </c>
    </row>
    <row r="542" spans="15:15" x14ac:dyDescent="0.25">
      <c r="O542" s="98">
        <f t="shared" si="8"/>
        <v>0</v>
      </c>
    </row>
    <row r="543" spans="15:15" x14ac:dyDescent="0.25">
      <c r="O543" s="98">
        <f t="shared" si="8"/>
        <v>0</v>
      </c>
    </row>
    <row r="544" spans="15:15" x14ac:dyDescent="0.25">
      <c r="O544" s="98">
        <f t="shared" si="8"/>
        <v>0</v>
      </c>
    </row>
    <row r="545" spans="15:15" x14ac:dyDescent="0.25">
      <c r="O545" s="98">
        <f t="shared" si="8"/>
        <v>0</v>
      </c>
    </row>
    <row r="546" spans="15:15" x14ac:dyDescent="0.25">
      <c r="O546" s="98">
        <f t="shared" si="8"/>
        <v>0</v>
      </c>
    </row>
    <row r="547" spans="15:15" x14ac:dyDescent="0.25">
      <c r="O547" s="98">
        <f t="shared" si="8"/>
        <v>0</v>
      </c>
    </row>
    <row r="548" spans="15:15" x14ac:dyDescent="0.25">
      <c r="O548" s="98">
        <f t="shared" si="8"/>
        <v>0</v>
      </c>
    </row>
    <row r="549" spans="15:15" x14ac:dyDescent="0.25">
      <c r="O549" s="98">
        <f t="shared" si="8"/>
        <v>0</v>
      </c>
    </row>
    <row r="550" spans="15:15" x14ac:dyDescent="0.25">
      <c r="O550" s="98">
        <f t="shared" si="8"/>
        <v>0</v>
      </c>
    </row>
    <row r="551" spans="15:15" x14ac:dyDescent="0.25">
      <c r="O551" s="98">
        <f t="shared" si="8"/>
        <v>0</v>
      </c>
    </row>
    <row r="552" spans="15:15" x14ac:dyDescent="0.25">
      <c r="O552" s="98">
        <f t="shared" si="8"/>
        <v>0</v>
      </c>
    </row>
    <row r="553" spans="15:15" x14ac:dyDescent="0.25">
      <c r="O553" s="98">
        <f t="shared" si="8"/>
        <v>0</v>
      </c>
    </row>
    <row r="554" spans="15:15" x14ac:dyDescent="0.25">
      <c r="O554" s="98">
        <f t="shared" si="8"/>
        <v>0</v>
      </c>
    </row>
    <row r="555" spans="15:15" x14ac:dyDescent="0.25">
      <c r="O555" s="98">
        <f t="shared" si="8"/>
        <v>0</v>
      </c>
    </row>
    <row r="556" spans="15:15" x14ac:dyDescent="0.25">
      <c r="O556" s="98">
        <f t="shared" si="8"/>
        <v>0</v>
      </c>
    </row>
    <row r="557" spans="15:15" x14ac:dyDescent="0.25">
      <c r="O557" s="98">
        <f t="shared" si="8"/>
        <v>0</v>
      </c>
    </row>
    <row r="558" spans="15:15" x14ac:dyDescent="0.25">
      <c r="O558" s="98">
        <f t="shared" si="8"/>
        <v>0</v>
      </c>
    </row>
    <row r="559" spans="15:15" x14ac:dyDescent="0.25">
      <c r="O559" s="98">
        <f t="shared" si="8"/>
        <v>0</v>
      </c>
    </row>
    <row r="560" spans="15:15" x14ac:dyDescent="0.25">
      <c r="O560" s="98">
        <f t="shared" si="8"/>
        <v>0</v>
      </c>
    </row>
    <row r="561" spans="15:15" x14ac:dyDescent="0.25">
      <c r="O561" s="98">
        <f t="shared" si="8"/>
        <v>0</v>
      </c>
    </row>
    <row r="562" spans="15:15" x14ac:dyDescent="0.25">
      <c r="O562" s="98">
        <f t="shared" si="8"/>
        <v>0</v>
      </c>
    </row>
    <row r="563" spans="15:15" x14ac:dyDescent="0.25">
      <c r="O563" s="98">
        <f t="shared" si="8"/>
        <v>0</v>
      </c>
    </row>
    <row r="564" spans="15:15" x14ac:dyDescent="0.25">
      <c r="O564" s="98">
        <f t="shared" si="8"/>
        <v>0</v>
      </c>
    </row>
    <row r="565" spans="15:15" x14ac:dyDescent="0.25">
      <c r="O565" s="98">
        <f t="shared" si="8"/>
        <v>0</v>
      </c>
    </row>
    <row r="566" spans="15:15" x14ac:dyDescent="0.25">
      <c r="O566" s="98">
        <f t="shared" si="8"/>
        <v>0</v>
      </c>
    </row>
    <row r="567" spans="15:15" x14ac:dyDescent="0.25">
      <c r="O567" s="98">
        <f t="shared" si="8"/>
        <v>0</v>
      </c>
    </row>
    <row r="568" spans="15:15" x14ac:dyDescent="0.25">
      <c r="O568" s="98">
        <f t="shared" si="8"/>
        <v>0</v>
      </c>
    </row>
    <row r="569" spans="15:15" x14ac:dyDescent="0.25">
      <c r="O569" s="98">
        <f t="shared" si="8"/>
        <v>0</v>
      </c>
    </row>
    <row r="570" spans="15:15" x14ac:dyDescent="0.25">
      <c r="O570" s="98">
        <f t="shared" si="8"/>
        <v>0</v>
      </c>
    </row>
    <row r="571" spans="15:15" x14ac:dyDescent="0.25">
      <c r="O571" s="98">
        <f t="shared" si="8"/>
        <v>0</v>
      </c>
    </row>
    <row r="572" spans="15:15" x14ac:dyDescent="0.25">
      <c r="O572" s="98">
        <f t="shared" si="8"/>
        <v>0</v>
      </c>
    </row>
    <row r="573" spans="15:15" x14ac:dyDescent="0.25">
      <c r="O573" s="98">
        <f t="shared" si="8"/>
        <v>0</v>
      </c>
    </row>
    <row r="574" spans="15:15" x14ac:dyDescent="0.25">
      <c r="O574" s="98">
        <f t="shared" si="8"/>
        <v>0</v>
      </c>
    </row>
    <row r="575" spans="15:15" x14ac:dyDescent="0.25">
      <c r="O575" s="98">
        <f t="shared" si="8"/>
        <v>0</v>
      </c>
    </row>
    <row r="576" spans="15:15" x14ac:dyDescent="0.25">
      <c r="O576" s="98">
        <f t="shared" si="8"/>
        <v>0</v>
      </c>
    </row>
    <row r="577" spans="15:15" x14ac:dyDescent="0.25">
      <c r="O577" s="98">
        <f t="shared" si="8"/>
        <v>0</v>
      </c>
    </row>
    <row r="578" spans="15:15" x14ac:dyDescent="0.25">
      <c r="O578" s="98">
        <f t="shared" si="8"/>
        <v>0</v>
      </c>
    </row>
    <row r="579" spans="15:15" x14ac:dyDescent="0.25">
      <c r="O579" s="98">
        <f t="shared" si="8"/>
        <v>0</v>
      </c>
    </row>
    <row r="580" spans="15:15" x14ac:dyDescent="0.25">
      <c r="O580" s="98">
        <f t="shared" si="8"/>
        <v>0</v>
      </c>
    </row>
    <row r="581" spans="15:15" x14ac:dyDescent="0.25">
      <c r="O581" s="98">
        <f t="shared" si="8"/>
        <v>0</v>
      </c>
    </row>
    <row r="582" spans="15:15" x14ac:dyDescent="0.25">
      <c r="O582" s="98">
        <f t="shared" si="8"/>
        <v>0</v>
      </c>
    </row>
    <row r="583" spans="15:15" x14ac:dyDescent="0.25">
      <c r="O583" s="98">
        <f t="shared" si="8"/>
        <v>0</v>
      </c>
    </row>
    <row r="584" spans="15:15" x14ac:dyDescent="0.25">
      <c r="O584" s="98">
        <f t="shared" si="8"/>
        <v>0</v>
      </c>
    </row>
    <row r="585" spans="15:15" x14ac:dyDescent="0.25">
      <c r="O585" s="98">
        <f t="shared" si="8"/>
        <v>0</v>
      </c>
    </row>
    <row r="586" spans="15:15" x14ac:dyDescent="0.25">
      <c r="O586" s="98">
        <f t="shared" si="8"/>
        <v>0</v>
      </c>
    </row>
    <row r="587" spans="15:15" x14ac:dyDescent="0.25">
      <c r="O587" s="98">
        <f t="shared" si="8"/>
        <v>0</v>
      </c>
    </row>
    <row r="588" spans="15:15" x14ac:dyDescent="0.25">
      <c r="O588" s="98">
        <f t="shared" si="8"/>
        <v>0</v>
      </c>
    </row>
    <row r="589" spans="15:15" x14ac:dyDescent="0.25">
      <c r="O589" s="98">
        <f t="shared" si="8"/>
        <v>0</v>
      </c>
    </row>
    <row r="590" spans="15:15" x14ac:dyDescent="0.25">
      <c r="O590" s="98">
        <f t="shared" si="8"/>
        <v>0</v>
      </c>
    </row>
    <row r="591" spans="15:15" x14ac:dyDescent="0.25">
      <c r="O591" s="98">
        <f t="shared" si="8"/>
        <v>0</v>
      </c>
    </row>
    <row r="592" spans="15:15" x14ac:dyDescent="0.25">
      <c r="O592" s="98">
        <f t="shared" ref="O592:O655" si="9">IF(AND(K592&lt;&gt;0,K593=0),ROW(K592),0)</f>
        <v>0</v>
      </c>
    </row>
    <row r="593" spans="15:15" x14ac:dyDescent="0.25">
      <c r="O593" s="98">
        <f t="shared" si="9"/>
        <v>0</v>
      </c>
    </row>
    <row r="594" spans="15:15" x14ac:dyDescent="0.25">
      <c r="O594" s="98">
        <f t="shared" si="9"/>
        <v>0</v>
      </c>
    </row>
    <row r="595" spans="15:15" x14ac:dyDescent="0.25">
      <c r="O595" s="98">
        <f t="shared" si="9"/>
        <v>0</v>
      </c>
    </row>
    <row r="596" spans="15:15" x14ac:dyDescent="0.25">
      <c r="O596" s="98">
        <f t="shared" si="9"/>
        <v>0</v>
      </c>
    </row>
    <row r="597" spans="15:15" x14ac:dyDescent="0.25">
      <c r="O597" s="98">
        <f t="shared" si="9"/>
        <v>0</v>
      </c>
    </row>
    <row r="598" spans="15:15" x14ac:dyDescent="0.25">
      <c r="O598" s="98">
        <f t="shared" si="9"/>
        <v>0</v>
      </c>
    </row>
    <row r="599" spans="15:15" x14ac:dyDescent="0.25">
      <c r="O599" s="98">
        <f t="shared" si="9"/>
        <v>0</v>
      </c>
    </row>
    <row r="600" spans="15:15" x14ac:dyDescent="0.25">
      <c r="O600" s="98">
        <f t="shared" si="9"/>
        <v>0</v>
      </c>
    </row>
    <row r="601" spans="15:15" x14ac:dyDescent="0.25">
      <c r="O601" s="98">
        <f t="shared" si="9"/>
        <v>0</v>
      </c>
    </row>
    <row r="602" spans="15:15" x14ac:dyDescent="0.25">
      <c r="O602" s="98">
        <f t="shared" si="9"/>
        <v>0</v>
      </c>
    </row>
    <row r="603" spans="15:15" x14ac:dyDescent="0.25">
      <c r="O603" s="98">
        <f t="shared" si="9"/>
        <v>0</v>
      </c>
    </row>
    <row r="604" spans="15:15" x14ac:dyDescent="0.25">
      <c r="O604" s="98">
        <f t="shared" si="9"/>
        <v>0</v>
      </c>
    </row>
    <row r="605" spans="15:15" x14ac:dyDescent="0.25">
      <c r="O605" s="98">
        <f t="shared" si="9"/>
        <v>0</v>
      </c>
    </row>
    <row r="606" spans="15:15" x14ac:dyDescent="0.25">
      <c r="O606" s="98">
        <f t="shared" si="9"/>
        <v>0</v>
      </c>
    </row>
    <row r="607" spans="15:15" x14ac:dyDescent="0.25">
      <c r="O607" s="98">
        <f t="shared" si="9"/>
        <v>0</v>
      </c>
    </row>
    <row r="608" spans="15:15" x14ac:dyDescent="0.25">
      <c r="O608" s="98">
        <f t="shared" si="9"/>
        <v>0</v>
      </c>
    </row>
    <row r="609" spans="15:15" x14ac:dyDescent="0.25">
      <c r="O609" s="98">
        <f t="shared" si="9"/>
        <v>0</v>
      </c>
    </row>
    <row r="610" spans="15:15" x14ac:dyDescent="0.25">
      <c r="O610" s="98">
        <f t="shared" si="9"/>
        <v>0</v>
      </c>
    </row>
    <row r="611" spans="15:15" x14ac:dyDescent="0.25">
      <c r="O611" s="98">
        <f t="shared" si="9"/>
        <v>0</v>
      </c>
    </row>
    <row r="612" spans="15:15" x14ac:dyDescent="0.25">
      <c r="O612" s="98">
        <f t="shared" si="9"/>
        <v>0</v>
      </c>
    </row>
    <row r="613" spans="15:15" x14ac:dyDescent="0.25">
      <c r="O613" s="98">
        <f t="shared" si="9"/>
        <v>0</v>
      </c>
    </row>
    <row r="614" spans="15:15" x14ac:dyDescent="0.25">
      <c r="O614" s="98">
        <f t="shared" si="9"/>
        <v>0</v>
      </c>
    </row>
    <row r="615" spans="15:15" x14ac:dyDescent="0.25">
      <c r="O615" s="98">
        <f t="shared" si="9"/>
        <v>0</v>
      </c>
    </row>
    <row r="616" spans="15:15" x14ac:dyDescent="0.25">
      <c r="O616" s="98">
        <f t="shared" si="9"/>
        <v>0</v>
      </c>
    </row>
    <row r="617" spans="15:15" x14ac:dyDescent="0.25">
      <c r="O617" s="98">
        <f t="shared" si="9"/>
        <v>0</v>
      </c>
    </row>
    <row r="618" spans="15:15" x14ac:dyDescent="0.25">
      <c r="O618" s="98">
        <f t="shared" si="9"/>
        <v>0</v>
      </c>
    </row>
    <row r="619" spans="15:15" x14ac:dyDescent="0.25">
      <c r="O619" s="98">
        <f t="shared" si="9"/>
        <v>0</v>
      </c>
    </row>
    <row r="620" spans="15:15" x14ac:dyDescent="0.25">
      <c r="O620" s="98">
        <f t="shared" si="9"/>
        <v>0</v>
      </c>
    </row>
    <row r="621" spans="15:15" x14ac:dyDescent="0.25">
      <c r="O621" s="98">
        <f t="shared" si="9"/>
        <v>0</v>
      </c>
    </row>
    <row r="622" spans="15:15" x14ac:dyDescent="0.25">
      <c r="O622" s="98">
        <f t="shared" si="9"/>
        <v>0</v>
      </c>
    </row>
    <row r="623" spans="15:15" x14ac:dyDescent="0.25">
      <c r="O623" s="98">
        <f t="shared" si="9"/>
        <v>0</v>
      </c>
    </row>
    <row r="624" spans="15:15" x14ac:dyDescent="0.25">
      <c r="O624" s="98">
        <f t="shared" si="9"/>
        <v>0</v>
      </c>
    </row>
    <row r="625" spans="15:15" x14ac:dyDescent="0.25">
      <c r="O625" s="98">
        <f t="shared" si="9"/>
        <v>0</v>
      </c>
    </row>
    <row r="626" spans="15:15" x14ac:dyDescent="0.25">
      <c r="O626" s="98">
        <f t="shared" si="9"/>
        <v>0</v>
      </c>
    </row>
    <row r="627" spans="15:15" x14ac:dyDescent="0.25">
      <c r="O627" s="98">
        <f t="shared" si="9"/>
        <v>0</v>
      </c>
    </row>
    <row r="628" spans="15:15" x14ac:dyDescent="0.25">
      <c r="O628" s="98">
        <f t="shared" si="9"/>
        <v>0</v>
      </c>
    </row>
    <row r="629" spans="15:15" x14ac:dyDescent="0.25">
      <c r="O629" s="98">
        <f t="shared" si="9"/>
        <v>0</v>
      </c>
    </row>
    <row r="630" spans="15:15" x14ac:dyDescent="0.25">
      <c r="O630" s="98">
        <f t="shared" si="9"/>
        <v>0</v>
      </c>
    </row>
    <row r="631" spans="15:15" x14ac:dyDescent="0.25">
      <c r="O631" s="98">
        <f t="shared" si="9"/>
        <v>0</v>
      </c>
    </row>
    <row r="632" spans="15:15" x14ac:dyDescent="0.25">
      <c r="O632" s="98">
        <f t="shared" si="9"/>
        <v>0</v>
      </c>
    </row>
    <row r="633" spans="15:15" x14ac:dyDescent="0.25">
      <c r="O633" s="98">
        <f t="shared" si="9"/>
        <v>0</v>
      </c>
    </row>
    <row r="634" spans="15:15" x14ac:dyDescent="0.25">
      <c r="O634" s="98">
        <f t="shared" si="9"/>
        <v>0</v>
      </c>
    </row>
    <row r="635" spans="15:15" x14ac:dyDescent="0.25">
      <c r="O635" s="98">
        <f t="shared" si="9"/>
        <v>0</v>
      </c>
    </row>
    <row r="636" spans="15:15" x14ac:dyDescent="0.25">
      <c r="O636" s="98">
        <f t="shared" si="9"/>
        <v>0</v>
      </c>
    </row>
    <row r="637" spans="15:15" x14ac:dyDescent="0.25">
      <c r="O637" s="98">
        <f t="shared" si="9"/>
        <v>0</v>
      </c>
    </row>
    <row r="638" spans="15:15" x14ac:dyDescent="0.25">
      <c r="O638" s="98">
        <f t="shared" si="9"/>
        <v>0</v>
      </c>
    </row>
    <row r="639" spans="15:15" x14ac:dyDescent="0.25">
      <c r="O639" s="98">
        <f t="shared" si="9"/>
        <v>0</v>
      </c>
    </row>
    <row r="640" spans="15:15" x14ac:dyDescent="0.25">
      <c r="O640" s="98">
        <f t="shared" si="9"/>
        <v>0</v>
      </c>
    </row>
    <row r="641" spans="15:15" x14ac:dyDescent="0.25">
      <c r="O641" s="98">
        <f t="shared" si="9"/>
        <v>0</v>
      </c>
    </row>
    <row r="642" spans="15:15" x14ac:dyDescent="0.25">
      <c r="O642" s="98">
        <f t="shared" si="9"/>
        <v>0</v>
      </c>
    </row>
    <row r="643" spans="15:15" x14ac:dyDescent="0.25">
      <c r="O643" s="98">
        <f t="shared" si="9"/>
        <v>0</v>
      </c>
    </row>
    <row r="644" spans="15:15" x14ac:dyDescent="0.25">
      <c r="O644" s="98">
        <f t="shared" si="9"/>
        <v>0</v>
      </c>
    </row>
    <row r="645" spans="15:15" x14ac:dyDescent="0.25">
      <c r="O645" s="98">
        <f t="shared" si="9"/>
        <v>0</v>
      </c>
    </row>
    <row r="646" spans="15:15" x14ac:dyDescent="0.25">
      <c r="O646" s="98">
        <f t="shared" si="9"/>
        <v>0</v>
      </c>
    </row>
    <row r="647" spans="15:15" x14ac:dyDescent="0.25">
      <c r="O647" s="98">
        <f t="shared" si="9"/>
        <v>0</v>
      </c>
    </row>
    <row r="648" spans="15:15" x14ac:dyDescent="0.25">
      <c r="O648" s="98">
        <f t="shared" si="9"/>
        <v>0</v>
      </c>
    </row>
    <row r="649" spans="15:15" x14ac:dyDescent="0.25">
      <c r="O649" s="98">
        <f t="shared" si="9"/>
        <v>0</v>
      </c>
    </row>
    <row r="650" spans="15:15" x14ac:dyDescent="0.25">
      <c r="O650" s="98">
        <f t="shared" si="9"/>
        <v>0</v>
      </c>
    </row>
    <row r="651" spans="15:15" x14ac:dyDescent="0.25">
      <c r="O651" s="98">
        <f t="shared" si="9"/>
        <v>0</v>
      </c>
    </row>
    <row r="652" spans="15:15" x14ac:dyDescent="0.25">
      <c r="O652" s="98">
        <f t="shared" si="9"/>
        <v>0</v>
      </c>
    </row>
    <row r="653" spans="15:15" x14ac:dyDescent="0.25">
      <c r="O653" s="98">
        <f t="shared" si="9"/>
        <v>0</v>
      </c>
    </row>
    <row r="654" spans="15:15" x14ac:dyDescent="0.25">
      <c r="O654" s="98">
        <f t="shared" si="9"/>
        <v>0</v>
      </c>
    </row>
    <row r="655" spans="15:15" x14ac:dyDescent="0.25">
      <c r="O655" s="98">
        <f t="shared" si="9"/>
        <v>0</v>
      </c>
    </row>
    <row r="656" spans="15:15" x14ac:dyDescent="0.25">
      <c r="O656" s="98">
        <f t="shared" ref="O656:O719" si="10">IF(AND(K656&lt;&gt;0,K657=0),ROW(K656),0)</f>
        <v>0</v>
      </c>
    </row>
    <row r="657" spans="15:15" x14ac:dyDescent="0.25">
      <c r="O657" s="98">
        <f t="shared" si="10"/>
        <v>0</v>
      </c>
    </row>
    <row r="658" spans="15:15" x14ac:dyDescent="0.25">
      <c r="O658" s="98">
        <f t="shared" si="10"/>
        <v>0</v>
      </c>
    </row>
    <row r="659" spans="15:15" x14ac:dyDescent="0.25">
      <c r="O659" s="98">
        <f t="shared" si="10"/>
        <v>0</v>
      </c>
    </row>
    <row r="660" spans="15:15" x14ac:dyDescent="0.25">
      <c r="O660" s="98">
        <f t="shared" si="10"/>
        <v>0</v>
      </c>
    </row>
    <row r="661" spans="15:15" x14ac:dyDescent="0.25">
      <c r="O661" s="98">
        <f t="shared" si="10"/>
        <v>0</v>
      </c>
    </row>
    <row r="662" spans="15:15" x14ac:dyDescent="0.25">
      <c r="O662" s="98">
        <f t="shared" si="10"/>
        <v>0</v>
      </c>
    </row>
    <row r="663" spans="15:15" x14ac:dyDescent="0.25">
      <c r="O663" s="98">
        <f t="shared" si="10"/>
        <v>0</v>
      </c>
    </row>
    <row r="664" spans="15:15" x14ac:dyDescent="0.25">
      <c r="O664" s="98">
        <f t="shared" si="10"/>
        <v>0</v>
      </c>
    </row>
    <row r="665" spans="15:15" x14ac:dyDescent="0.25">
      <c r="O665" s="98">
        <f t="shared" si="10"/>
        <v>0</v>
      </c>
    </row>
    <row r="666" spans="15:15" x14ac:dyDescent="0.25">
      <c r="O666" s="98">
        <f t="shared" si="10"/>
        <v>0</v>
      </c>
    </row>
    <row r="667" spans="15:15" x14ac:dyDescent="0.25">
      <c r="O667" s="98">
        <f t="shared" si="10"/>
        <v>0</v>
      </c>
    </row>
    <row r="668" spans="15:15" x14ac:dyDescent="0.25">
      <c r="O668" s="98">
        <f t="shared" si="10"/>
        <v>0</v>
      </c>
    </row>
    <row r="669" spans="15:15" x14ac:dyDescent="0.25">
      <c r="O669" s="98">
        <f t="shared" si="10"/>
        <v>0</v>
      </c>
    </row>
    <row r="670" spans="15:15" x14ac:dyDescent="0.25">
      <c r="O670" s="98">
        <f t="shared" si="10"/>
        <v>0</v>
      </c>
    </row>
    <row r="671" spans="15:15" x14ac:dyDescent="0.25">
      <c r="O671" s="98">
        <f t="shared" si="10"/>
        <v>0</v>
      </c>
    </row>
    <row r="672" spans="15:15" x14ac:dyDescent="0.25">
      <c r="O672" s="98">
        <f t="shared" si="10"/>
        <v>0</v>
      </c>
    </row>
    <row r="673" spans="15:15" x14ac:dyDescent="0.25">
      <c r="O673" s="98">
        <f t="shared" si="10"/>
        <v>0</v>
      </c>
    </row>
    <row r="674" spans="15:15" x14ac:dyDescent="0.25">
      <c r="O674" s="98">
        <f t="shared" si="10"/>
        <v>0</v>
      </c>
    </row>
    <row r="675" spans="15:15" x14ac:dyDescent="0.25">
      <c r="O675" s="98">
        <f t="shared" si="10"/>
        <v>0</v>
      </c>
    </row>
    <row r="676" spans="15:15" x14ac:dyDescent="0.25">
      <c r="O676" s="98">
        <f t="shared" si="10"/>
        <v>0</v>
      </c>
    </row>
    <row r="677" spans="15:15" x14ac:dyDescent="0.25">
      <c r="O677" s="98">
        <f t="shared" si="10"/>
        <v>0</v>
      </c>
    </row>
    <row r="678" spans="15:15" x14ac:dyDescent="0.25">
      <c r="O678" s="98">
        <f t="shared" si="10"/>
        <v>0</v>
      </c>
    </row>
    <row r="679" spans="15:15" x14ac:dyDescent="0.25">
      <c r="O679" s="98">
        <f t="shared" si="10"/>
        <v>0</v>
      </c>
    </row>
    <row r="680" spans="15:15" x14ac:dyDescent="0.25">
      <c r="O680" s="98">
        <f t="shared" si="10"/>
        <v>0</v>
      </c>
    </row>
    <row r="681" spans="15:15" x14ac:dyDescent="0.25">
      <c r="O681" s="98">
        <f t="shared" si="10"/>
        <v>0</v>
      </c>
    </row>
    <row r="682" spans="15:15" x14ac:dyDescent="0.25">
      <c r="O682" s="98">
        <f t="shared" si="10"/>
        <v>0</v>
      </c>
    </row>
    <row r="683" spans="15:15" x14ac:dyDescent="0.25">
      <c r="O683" s="98">
        <f t="shared" si="10"/>
        <v>0</v>
      </c>
    </row>
    <row r="684" spans="15:15" x14ac:dyDescent="0.25">
      <c r="O684" s="98">
        <f t="shared" si="10"/>
        <v>0</v>
      </c>
    </row>
    <row r="685" spans="15:15" x14ac:dyDescent="0.25">
      <c r="O685" s="98">
        <f t="shared" si="10"/>
        <v>0</v>
      </c>
    </row>
    <row r="686" spans="15:15" x14ac:dyDescent="0.25">
      <c r="O686" s="98">
        <f t="shared" si="10"/>
        <v>0</v>
      </c>
    </row>
    <row r="687" spans="15:15" x14ac:dyDescent="0.25">
      <c r="O687" s="98">
        <f t="shared" si="10"/>
        <v>0</v>
      </c>
    </row>
    <row r="688" spans="15:15" x14ac:dyDescent="0.25">
      <c r="O688" s="98">
        <f t="shared" si="10"/>
        <v>0</v>
      </c>
    </row>
    <row r="689" spans="15:15" x14ac:dyDescent="0.25">
      <c r="O689" s="98">
        <f t="shared" si="10"/>
        <v>0</v>
      </c>
    </row>
    <row r="690" spans="15:15" x14ac:dyDescent="0.25">
      <c r="O690" s="98">
        <f t="shared" si="10"/>
        <v>0</v>
      </c>
    </row>
    <row r="691" spans="15:15" x14ac:dyDescent="0.25">
      <c r="O691" s="98">
        <f t="shared" si="10"/>
        <v>0</v>
      </c>
    </row>
    <row r="692" spans="15:15" x14ac:dyDescent="0.25">
      <c r="O692" s="98">
        <f t="shared" si="10"/>
        <v>0</v>
      </c>
    </row>
    <row r="693" spans="15:15" x14ac:dyDescent="0.25">
      <c r="O693" s="98">
        <f t="shared" si="10"/>
        <v>0</v>
      </c>
    </row>
    <row r="694" spans="15:15" x14ac:dyDescent="0.25">
      <c r="O694" s="98">
        <f t="shared" si="10"/>
        <v>0</v>
      </c>
    </row>
    <row r="695" spans="15:15" x14ac:dyDescent="0.25">
      <c r="O695" s="98">
        <f t="shared" si="10"/>
        <v>0</v>
      </c>
    </row>
    <row r="696" spans="15:15" x14ac:dyDescent="0.25">
      <c r="O696" s="98">
        <f t="shared" si="10"/>
        <v>0</v>
      </c>
    </row>
    <row r="697" spans="15:15" x14ac:dyDescent="0.25">
      <c r="O697" s="98">
        <f t="shared" si="10"/>
        <v>0</v>
      </c>
    </row>
    <row r="698" spans="15:15" x14ac:dyDescent="0.25">
      <c r="O698" s="98">
        <f t="shared" si="10"/>
        <v>0</v>
      </c>
    </row>
    <row r="699" spans="15:15" x14ac:dyDescent="0.25">
      <c r="O699" s="98">
        <f t="shared" si="10"/>
        <v>0</v>
      </c>
    </row>
    <row r="700" spans="15:15" x14ac:dyDescent="0.25">
      <c r="O700" s="98">
        <f t="shared" si="10"/>
        <v>0</v>
      </c>
    </row>
    <row r="701" spans="15:15" x14ac:dyDescent="0.25">
      <c r="O701" s="98">
        <f t="shared" si="10"/>
        <v>0</v>
      </c>
    </row>
    <row r="702" spans="15:15" x14ac:dyDescent="0.25">
      <c r="O702" s="98">
        <f t="shared" si="10"/>
        <v>0</v>
      </c>
    </row>
    <row r="703" spans="15:15" x14ac:dyDescent="0.25">
      <c r="O703" s="98">
        <f t="shared" si="10"/>
        <v>0</v>
      </c>
    </row>
    <row r="704" spans="15:15" x14ac:dyDescent="0.25">
      <c r="O704" s="98">
        <f t="shared" si="10"/>
        <v>0</v>
      </c>
    </row>
    <row r="705" spans="15:15" x14ac:dyDescent="0.25">
      <c r="O705" s="98">
        <f t="shared" si="10"/>
        <v>0</v>
      </c>
    </row>
    <row r="706" spans="15:15" x14ac:dyDescent="0.25">
      <c r="O706" s="98">
        <f t="shared" si="10"/>
        <v>0</v>
      </c>
    </row>
    <row r="707" spans="15:15" x14ac:dyDescent="0.25">
      <c r="O707" s="98">
        <f t="shared" si="10"/>
        <v>0</v>
      </c>
    </row>
    <row r="708" spans="15:15" x14ac:dyDescent="0.25">
      <c r="O708" s="98">
        <f t="shared" si="10"/>
        <v>0</v>
      </c>
    </row>
    <row r="709" spans="15:15" x14ac:dyDescent="0.25">
      <c r="O709" s="98">
        <f t="shared" si="10"/>
        <v>0</v>
      </c>
    </row>
    <row r="710" spans="15:15" x14ac:dyDescent="0.25">
      <c r="O710" s="98">
        <f t="shared" si="10"/>
        <v>0</v>
      </c>
    </row>
    <row r="711" spans="15:15" x14ac:dyDescent="0.25">
      <c r="O711" s="98">
        <f t="shared" si="10"/>
        <v>0</v>
      </c>
    </row>
    <row r="712" spans="15:15" x14ac:dyDescent="0.25">
      <c r="O712" s="98">
        <f t="shared" si="10"/>
        <v>0</v>
      </c>
    </row>
    <row r="713" spans="15:15" x14ac:dyDescent="0.25">
      <c r="O713" s="98">
        <f t="shared" si="10"/>
        <v>0</v>
      </c>
    </row>
    <row r="714" spans="15:15" x14ac:dyDescent="0.25">
      <c r="O714" s="98">
        <f t="shared" si="10"/>
        <v>0</v>
      </c>
    </row>
    <row r="715" spans="15:15" x14ac:dyDescent="0.25">
      <c r="O715" s="98">
        <f t="shared" si="10"/>
        <v>0</v>
      </c>
    </row>
    <row r="716" spans="15:15" x14ac:dyDescent="0.25">
      <c r="O716" s="98">
        <f t="shared" si="10"/>
        <v>0</v>
      </c>
    </row>
    <row r="717" spans="15:15" x14ac:dyDescent="0.25">
      <c r="O717" s="98">
        <f t="shared" si="10"/>
        <v>0</v>
      </c>
    </row>
    <row r="718" spans="15:15" x14ac:dyDescent="0.25">
      <c r="O718" s="98">
        <f t="shared" si="10"/>
        <v>0</v>
      </c>
    </row>
    <row r="719" spans="15:15" x14ac:dyDescent="0.25">
      <c r="O719" s="98">
        <f t="shared" si="10"/>
        <v>0</v>
      </c>
    </row>
    <row r="720" spans="15:15" x14ac:dyDescent="0.25">
      <c r="O720" s="98">
        <f t="shared" ref="O720:O783" si="11">IF(AND(K720&lt;&gt;0,K721=0),ROW(K720),0)</f>
        <v>0</v>
      </c>
    </row>
    <row r="721" spans="15:15" x14ac:dyDescent="0.25">
      <c r="O721" s="98">
        <f t="shared" si="11"/>
        <v>0</v>
      </c>
    </row>
    <row r="722" spans="15:15" x14ac:dyDescent="0.25">
      <c r="O722" s="98">
        <f t="shared" si="11"/>
        <v>0</v>
      </c>
    </row>
    <row r="723" spans="15:15" x14ac:dyDescent="0.25">
      <c r="O723" s="98">
        <f t="shared" si="11"/>
        <v>0</v>
      </c>
    </row>
    <row r="724" spans="15:15" x14ac:dyDescent="0.25">
      <c r="O724" s="98">
        <f t="shared" si="11"/>
        <v>0</v>
      </c>
    </row>
    <row r="725" spans="15:15" x14ac:dyDescent="0.25">
      <c r="O725" s="98">
        <f t="shared" si="11"/>
        <v>0</v>
      </c>
    </row>
    <row r="726" spans="15:15" x14ac:dyDescent="0.25">
      <c r="O726" s="98">
        <f t="shared" si="11"/>
        <v>0</v>
      </c>
    </row>
    <row r="727" spans="15:15" x14ac:dyDescent="0.25">
      <c r="O727" s="98">
        <f t="shared" si="11"/>
        <v>0</v>
      </c>
    </row>
    <row r="728" spans="15:15" x14ac:dyDescent="0.25">
      <c r="O728" s="98">
        <f t="shared" si="11"/>
        <v>0</v>
      </c>
    </row>
    <row r="729" spans="15:15" x14ac:dyDescent="0.25">
      <c r="O729" s="98">
        <f t="shared" si="11"/>
        <v>0</v>
      </c>
    </row>
    <row r="730" spans="15:15" x14ac:dyDescent="0.25">
      <c r="O730" s="98">
        <f t="shared" si="11"/>
        <v>0</v>
      </c>
    </row>
    <row r="731" spans="15:15" x14ac:dyDescent="0.25">
      <c r="O731" s="98">
        <f t="shared" si="11"/>
        <v>0</v>
      </c>
    </row>
    <row r="732" spans="15:15" x14ac:dyDescent="0.25">
      <c r="O732" s="98">
        <f t="shared" si="11"/>
        <v>0</v>
      </c>
    </row>
    <row r="733" spans="15:15" x14ac:dyDescent="0.25">
      <c r="O733" s="98">
        <f t="shared" si="11"/>
        <v>0</v>
      </c>
    </row>
    <row r="734" spans="15:15" x14ac:dyDescent="0.25">
      <c r="O734" s="98">
        <f t="shared" si="11"/>
        <v>0</v>
      </c>
    </row>
    <row r="735" spans="15:15" x14ac:dyDescent="0.25">
      <c r="O735" s="98">
        <f t="shared" si="11"/>
        <v>0</v>
      </c>
    </row>
    <row r="736" spans="15:15" x14ac:dyDescent="0.25">
      <c r="O736" s="98">
        <f t="shared" si="11"/>
        <v>0</v>
      </c>
    </row>
    <row r="737" spans="15:15" x14ac:dyDescent="0.25">
      <c r="O737" s="98">
        <f t="shared" si="11"/>
        <v>0</v>
      </c>
    </row>
    <row r="738" spans="15:15" x14ac:dyDescent="0.25">
      <c r="O738" s="98">
        <f t="shared" si="11"/>
        <v>0</v>
      </c>
    </row>
    <row r="739" spans="15:15" x14ac:dyDescent="0.25">
      <c r="O739" s="98">
        <f t="shared" si="11"/>
        <v>0</v>
      </c>
    </row>
    <row r="740" spans="15:15" x14ac:dyDescent="0.25">
      <c r="O740" s="98">
        <f t="shared" si="11"/>
        <v>0</v>
      </c>
    </row>
    <row r="741" spans="15:15" x14ac:dyDescent="0.25">
      <c r="O741" s="98">
        <f t="shared" si="11"/>
        <v>0</v>
      </c>
    </row>
    <row r="742" spans="15:15" x14ac:dyDescent="0.25">
      <c r="O742" s="98">
        <f t="shared" si="11"/>
        <v>0</v>
      </c>
    </row>
    <row r="743" spans="15:15" x14ac:dyDescent="0.25">
      <c r="O743" s="98">
        <f t="shared" si="11"/>
        <v>0</v>
      </c>
    </row>
    <row r="744" spans="15:15" x14ac:dyDescent="0.25">
      <c r="O744" s="98">
        <f t="shared" si="11"/>
        <v>0</v>
      </c>
    </row>
    <row r="745" spans="15:15" x14ac:dyDescent="0.25">
      <c r="O745" s="98">
        <f t="shared" si="11"/>
        <v>0</v>
      </c>
    </row>
    <row r="746" spans="15:15" x14ac:dyDescent="0.25">
      <c r="O746" s="98">
        <f t="shared" si="11"/>
        <v>0</v>
      </c>
    </row>
    <row r="747" spans="15:15" x14ac:dyDescent="0.25">
      <c r="O747" s="98">
        <f t="shared" si="11"/>
        <v>0</v>
      </c>
    </row>
    <row r="748" spans="15:15" x14ac:dyDescent="0.25">
      <c r="O748" s="98">
        <f t="shared" si="11"/>
        <v>0</v>
      </c>
    </row>
    <row r="749" spans="15:15" x14ac:dyDescent="0.25">
      <c r="O749" s="98">
        <f t="shared" si="11"/>
        <v>0</v>
      </c>
    </row>
    <row r="750" spans="15:15" x14ac:dyDescent="0.25">
      <c r="O750" s="98">
        <f t="shared" si="11"/>
        <v>0</v>
      </c>
    </row>
    <row r="751" spans="15:15" x14ac:dyDescent="0.25">
      <c r="O751" s="98">
        <f t="shared" si="11"/>
        <v>0</v>
      </c>
    </row>
    <row r="752" spans="15:15" x14ac:dyDescent="0.25">
      <c r="O752" s="98">
        <f t="shared" si="11"/>
        <v>0</v>
      </c>
    </row>
    <row r="753" spans="15:15" x14ac:dyDescent="0.25">
      <c r="O753" s="98">
        <f t="shared" si="11"/>
        <v>0</v>
      </c>
    </row>
    <row r="754" spans="15:15" x14ac:dyDescent="0.25">
      <c r="O754" s="98">
        <f t="shared" si="11"/>
        <v>0</v>
      </c>
    </row>
    <row r="755" spans="15:15" x14ac:dyDescent="0.25">
      <c r="O755" s="98">
        <f t="shared" si="11"/>
        <v>0</v>
      </c>
    </row>
    <row r="756" spans="15:15" x14ac:dyDescent="0.25">
      <c r="O756" s="98">
        <f t="shared" si="11"/>
        <v>0</v>
      </c>
    </row>
    <row r="757" spans="15:15" x14ac:dyDescent="0.25">
      <c r="O757" s="98">
        <f t="shared" si="11"/>
        <v>0</v>
      </c>
    </row>
    <row r="758" spans="15:15" x14ac:dyDescent="0.25">
      <c r="O758" s="98">
        <f t="shared" si="11"/>
        <v>0</v>
      </c>
    </row>
    <row r="759" spans="15:15" x14ac:dyDescent="0.25">
      <c r="O759" s="98">
        <f t="shared" si="11"/>
        <v>0</v>
      </c>
    </row>
    <row r="760" spans="15:15" x14ac:dyDescent="0.25">
      <c r="O760" s="98">
        <f t="shared" si="11"/>
        <v>0</v>
      </c>
    </row>
    <row r="761" spans="15:15" x14ac:dyDescent="0.25">
      <c r="O761" s="98">
        <f t="shared" si="11"/>
        <v>0</v>
      </c>
    </row>
    <row r="762" spans="15:15" x14ac:dyDescent="0.25">
      <c r="O762" s="98">
        <f t="shared" si="11"/>
        <v>0</v>
      </c>
    </row>
    <row r="763" spans="15:15" x14ac:dyDescent="0.25">
      <c r="O763" s="98">
        <f t="shared" si="11"/>
        <v>0</v>
      </c>
    </row>
    <row r="764" spans="15:15" x14ac:dyDescent="0.25">
      <c r="O764" s="98">
        <f t="shared" si="11"/>
        <v>0</v>
      </c>
    </row>
    <row r="765" spans="15:15" x14ac:dyDescent="0.25">
      <c r="O765" s="98">
        <f t="shared" si="11"/>
        <v>0</v>
      </c>
    </row>
    <row r="766" spans="15:15" x14ac:dyDescent="0.25">
      <c r="O766" s="98">
        <f t="shared" si="11"/>
        <v>0</v>
      </c>
    </row>
    <row r="767" spans="15:15" x14ac:dyDescent="0.25">
      <c r="O767" s="98">
        <f t="shared" si="11"/>
        <v>0</v>
      </c>
    </row>
    <row r="768" spans="15:15" x14ac:dyDescent="0.25">
      <c r="O768" s="98">
        <f t="shared" si="11"/>
        <v>0</v>
      </c>
    </row>
    <row r="769" spans="15:15" x14ac:dyDescent="0.25">
      <c r="O769" s="98">
        <f t="shared" si="11"/>
        <v>0</v>
      </c>
    </row>
    <row r="770" spans="15:15" x14ac:dyDescent="0.25">
      <c r="O770" s="98">
        <f t="shared" si="11"/>
        <v>0</v>
      </c>
    </row>
    <row r="771" spans="15:15" x14ac:dyDescent="0.25">
      <c r="O771" s="98">
        <f t="shared" si="11"/>
        <v>0</v>
      </c>
    </row>
    <row r="772" spans="15:15" x14ac:dyDescent="0.25">
      <c r="O772" s="98">
        <f t="shared" si="11"/>
        <v>0</v>
      </c>
    </row>
    <row r="773" spans="15:15" x14ac:dyDescent="0.25">
      <c r="O773" s="98">
        <f t="shared" si="11"/>
        <v>0</v>
      </c>
    </row>
    <row r="774" spans="15:15" x14ac:dyDescent="0.25">
      <c r="O774" s="98">
        <f t="shared" si="11"/>
        <v>0</v>
      </c>
    </row>
    <row r="775" spans="15:15" x14ac:dyDescent="0.25">
      <c r="O775" s="98">
        <f t="shared" si="11"/>
        <v>0</v>
      </c>
    </row>
    <row r="776" spans="15:15" x14ac:dyDescent="0.25">
      <c r="O776" s="98">
        <f t="shared" si="11"/>
        <v>0</v>
      </c>
    </row>
    <row r="777" spans="15:15" x14ac:dyDescent="0.25">
      <c r="O777" s="98">
        <f t="shared" si="11"/>
        <v>0</v>
      </c>
    </row>
    <row r="778" spans="15:15" x14ac:dyDescent="0.25">
      <c r="O778" s="98">
        <f t="shared" si="11"/>
        <v>0</v>
      </c>
    </row>
    <row r="779" spans="15:15" x14ac:dyDescent="0.25">
      <c r="O779" s="98">
        <f t="shared" si="11"/>
        <v>0</v>
      </c>
    </row>
    <row r="780" spans="15:15" x14ac:dyDescent="0.25">
      <c r="O780" s="98">
        <f t="shared" si="11"/>
        <v>0</v>
      </c>
    </row>
    <row r="781" spans="15:15" x14ac:dyDescent="0.25">
      <c r="O781" s="98">
        <f t="shared" si="11"/>
        <v>0</v>
      </c>
    </row>
    <row r="782" spans="15:15" x14ac:dyDescent="0.25">
      <c r="O782" s="98">
        <f t="shared" si="11"/>
        <v>0</v>
      </c>
    </row>
    <row r="783" spans="15:15" x14ac:dyDescent="0.25">
      <c r="O783" s="98">
        <f t="shared" si="11"/>
        <v>0</v>
      </c>
    </row>
    <row r="784" spans="15:15" x14ac:dyDescent="0.25">
      <c r="O784" s="98">
        <f t="shared" ref="O784:O847" si="12">IF(AND(K784&lt;&gt;0,K785=0),ROW(K784),0)</f>
        <v>0</v>
      </c>
    </row>
    <row r="785" spans="15:15" x14ac:dyDescent="0.25">
      <c r="O785" s="98">
        <f t="shared" si="12"/>
        <v>0</v>
      </c>
    </row>
    <row r="786" spans="15:15" x14ac:dyDescent="0.25">
      <c r="O786" s="98">
        <f t="shared" si="12"/>
        <v>0</v>
      </c>
    </row>
    <row r="787" spans="15:15" x14ac:dyDescent="0.25">
      <c r="O787" s="98">
        <f t="shared" si="12"/>
        <v>0</v>
      </c>
    </row>
    <row r="788" spans="15:15" x14ac:dyDescent="0.25">
      <c r="O788" s="98">
        <f t="shared" si="12"/>
        <v>0</v>
      </c>
    </row>
    <row r="789" spans="15:15" x14ac:dyDescent="0.25">
      <c r="O789" s="98">
        <f t="shared" si="12"/>
        <v>0</v>
      </c>
    </row>
    <row r="790" spans="15:15" x14ac:dyDescent="0.25">
      <c r="O790" s="98">
        <f t="shared" si="12"/>
        <v>0</v>
      </c>
    </row>
    <row r="791" spans="15:15" x14ac:dyDescent="0.25">
      <c r="O791" s="98">
        <f t="shared" si="12"/>
        <v>0</v>
      </c>
    </row>
    <row r="792" spans="15:15" x14ac:dyDescent="0.25">
      <c r="O792" s="98">
        <f t="shared" si="12"/>
        <v>0</v>
      </c>
    </row>
    <row r="793" spans="15:15" x14ac:dyDescent="0.25">
      <c r="O793" s="98">
        <f t="shared" si="12"/>
        <v>0</v>
      </c>
    </row>
    <row r="794" spans="15:15" x14ac:dyDescent="0.25">
      <c r="O794" s="98">
        <f t="shared" si="12"/>
        <v>0</v>
      </c>
    </row>
    <row r="795" spans="15:15" x14ac:dyDescent="0.25">
      <c r="O795" s="98">
        <f t="shared" si="12"/>
        <v>0</v>
      </c>
    </row>
    <row r="796" spans="15:15" x14ac:dyDescent="0.25">
      <c r="O796" s="98">
        <f t="shared" si="12"/>
        <v>0</v>
      </c>
    </row>
    <row r="797" spans="15:15" x14ac:dyDescent="0.25">
      <c r="O797" s="98">
        <f t="shared" si="12"/>
        <v>0</v>
      </c>
    </row>
    <row r="798" spans="15:15" x14ac:dyDescent="0.25">
      <c r="O798" s="98">
        <f t="shared" si="12"/>
        <v>0</v>
      </c>
    </row>
    <row r="799" spans="15:15" x14ac:dyDescent="0.25">
      <c r="O799" s="98">
        <f t="shared" si="12"/>
        <v>0</v>
      </c>
    </row>
    <row r="800" spans="15:15" x14ac:dyDescent="0.25">
      <c r="O800" s="98">
        <f t="shared" si="12"/>
        <v>0</v>
      </c>
    </row>
    <row r="801" spans="15:15" x14ac:dyDescent="0.25">
      <c r="O801" s="98">
        <f t="shared" si="12"/>
        <v>0</v>
      </c>
    </row>
    <row r="802" spans="15:15" x14ac:dyDescent="0.25">
      <c r="O802" s="98">
        <f t="shared" si="12"/>
        <v>0</v>
      </c>
    </row>
    <row r="803" spans="15:15" x14ac:dyDescent="0.25">
      <c r="O803" s="98">
        <f t="shared" si="12"/>
        <v>0</v>
      </c>
    </row>
    <row r="804" spans="15:15" x14ac:dyDescent="0.25">
      <c r="O804" s="98">
        <f t="shared" si="12"/>
        <v>0</v>
      </c>
    </row>
    <row r="805" spans="15:15" x14ac:dyDescent="0.25">
      <c r="O805" s="98">
        <f t="shared" si="12"/>
        <v>0</v>
      </c>
    </row>
    <row r="806" spans="15:15" x14ac:dyDescent="0.25">
      <c r="O806" s="98">
        <f t="shared" si="12"/>
        <v>0</v>
      </c>
    </row>
    <row r="807" spans="15:15" x14ac:dyDescent="0.25">
      <c r="O807" s="98">
        <f t="shared" si="12"/>
        <v>0</v>
      </c>
    </row>
    <row r="808" spans="15:15" x14ac:dyDescent="0.25">
      <c r="O808" s="98">
        <f t="shared" si="12"/>
        <v>0</v>
      </c>
    </row>
    <row r="809" spans="15:15" x14ac:dyDescent="0.25">
      <c r="O809" s="98">
        <f t="shared" si="12"/>
        <v>0</v>
      </c>
    </row>
    <row r="810" spans="15:15" x14ac:dyDescent="0.25">
      <c r="O810" s="98">
        <f t="shared" si="12"/>
        <v>0</v>
      </c>
    </row>
    <row r="811" spans="15:15" x14ac:dyDescent="0.25">
      <c r="O811" s="98">
        <f t="shared" si="12"/>
        <v>0</v>
      </c>
    </row>
    <row r="812" spans="15:15" x14ac:dyDescent="0.25">
      <c r="O812" s="98">
        <f t="shared" si="12"/>
        <v>0</v>
      </c>
    </row>
    <row r="813" spans="15:15" x14ac:dyDescent="0.25">
      <c r="O813" s="98">
        <f t="shared" si="12"/>
        <v>0</v>
      </c>
    </row>
    <row r="814" spans="15:15" x14ac:dyDescent="0.25">
      <c r="O814" s="98">
        <f t="shared" si="12"/>
        <v>0</v>
      </c>
    </row>
    <row r="815" spans="15:15" x14ac:dyDescent="0.25">
      <c r="O815" s="98">
        <f t="shared" si="12"/>
        <v>0</v>
      </c>
    </row>
    <row r="816" spans="15:15" x14ac:dyDescent="0.25">
      <c r="O816" s="98">
        <f t="shared" si="12"/>
        <v>0</v>
      </c>
    </row>
    <row r="817" spans="15:15" x14ac:dyDescent="0.25">
      <c r="O817" s="98">
        <f t="shared" si="12"/>
        <v>0</v>
      </c>
    </row>
    <row r="818" spans="15:15" x14ac:dyDescent="0.25">
      <c r="O818" s="98">
        <f t="shared" si="12"/>
        <v>0</v>
      </c>
    </row>
    <row r="819" spans="15:15" x14ac:dyDescent="0.25">
      <c r="O819" s="98">
        <f t="shared" si="12"/>
        <v>0</v>
      </c>
    </row>
    <row r="820" spans="15:15" x14ac:dyDescent="0.25">
      <c r="O820" s="98">
        <f t="shared" si="12"/>
        <v>0</v>
      </c>
    </row>
    <row r="821" spans="15:15" x14ac:dyDescent="0.25">
      <c r="O821" s="98">
        <f t="shared" si="12"/>
        <v>0</v>
      </c>
    </row>
    <row r="822" spans="15:15" x14ac:dyDescent="0.25">
      <c r="O822" s="98">
        <f t="shared" si="12"/>
        <v>0</v>
      </c>
    </row>
    <row r="823" spans="15:15" x14ac:dyDescent="0.25">
      <c r="O823" s="98">
        <f t="shared" si="12"/>
        <v>0</v>
      </c>
    </row>
    <row r="824" spans="15:15" x14ac:dyDescent="0.25">
      <c r="O824" s="98">
        <f t="shared" si="12"/>
        <v>0</v>
      </c>
    </row>
    <row r="825" spans="15:15" x14ac:dyDescent="0.25">
      <c r="O825" s="98">
        <f t="shared" si="12"/>
        <v>0</v>
      </c>
    </row>
    <row r="826" spans="15:15" x14ac:dyDescent="0.25">
      <c r="O826" s="98">
        <f t="shared" si="12"/>
        <v>0</v>
      </c>
    </row>
    <row r="827" spans="15:15" x14ac:dyDescent="0.25">
      <c r="O827" s="98">
        <f t="shared" si="12"/>
        <v>0</v>
      </c>
    </row>
    <row r="828" spans="15:15" x14ac:dyDescent="0.25">
      <c r="O828" s="98">
        <f t="shared" si="12"/>
        <v>0</v>
      </c>
    </row>
    <row r="829" spans="15:15" x14ac:dyDescent="0.25">
      <c r="O829" s="98">
        <f t="shared" si="12"/>
        <v>0</v>
      </c>
    </row>
    <row r="830" spans="15:15" x14ac:dyDescent="0.25">
      <c r="O830" s="98">
        <f t="shared" si="12"/>
        <v>0</v>
      </c>
    </row>
    <row r="831" spans="15:15" x14ac:dyDescent="0.25">
      <c r="O831" s="98">
        <f t="shared" si="12"/>
        <v>0</v>
      </c>
    </row>
    <row r="832" spans="15:15" x14ac:dyDescent="0.25">
      <c r="O832" s="98">
        <f t="shared" si="12"/>
        <v>0</v>
      </c>
    </row>
    <row r="833" spans="15:15" x14ac:dyDescent="0.25">
      <c r="O833" s="98">
        <f t="shared" si="12"/>
        <v>0</v>
      </c>
    </row>
    <row r="834" spans="15:15" x14ac:dyDescent="0.25">
      <c r="O834" s="98">
        <f t="shared" si="12"/>
        <v>0</v>
      </c>
    </row>
    <row r="835" spans="15:15" x14ac:dyDescent="0.25">
      <c r="O835" s="98">
        <f t="shared" si="12"/>
        <v>0</v>
      </c>
    </row>
    <row r="836" spans="15:15" x14ac:dyDescent="0.25">
      <c r="O836" s="98">
        <f t="shared" si="12"/>
        <v>0</v>
      </c>
    </row>
    <row r="837" spans="15:15" x14ac:dyDescent="0.25">
      <c r="O837" s="98">
        <f t="shared" si="12"/>
        <v>0</v>
      </c>
    </row>
    <row r="838" spans="15:15" x14ac:dyDescent="0.25">
      <c r="O838" s="98">
        <f t="shared" si="12"/>
        <v>0</v>
      </c>
    </row>
    <row r="839" spans="15:15" x14ac:dyDescent="0.25">
      <c r="O839" s="98">
        <f t="shared" si="12"/>
        <v>0</v>
      </c>
    </row>
    <row r="840" spans="15:15" x14ac:dyDescent="0.25">
      <c r="O840" s="98">
        <f t="shared" si="12"/>
        <v>0</v>
      </c>
    </row>
    <row r="841" spans="15:15" x14ac:dyDescent="0.25">
      <c r="O841" s="98">
        <f t="shared" si="12"/>
        <v>0</v>
      </c>
    </row>
    <row r="842" spans="15:15" x14ac:dyDescent="0.25">
      <c r="O842" s="98">
        <f t="shared" si="12"/>
        <v>0</v>
      </c>
    </row>
    <row r="843" spans="15:15" x14ac:dyDescent="0.25">
      <c r="O843" s="98">
        <f t="shared" si="12"/>
        <v>0</v>
      </c>
    </row>
    <row r="844" spans="15:15" x14ac:dyDescent="0.25">
      <c r="O844" s="98">
        <f t="shared" si="12"/>
        <v>0</v>
      </c>
    </row>
    <row r="845" spans="15:15" x14ac:dyDescent="0.25">
      <c r="O845" s="98">
        <f t="shared" si="12"/>
        <v>0</v>
      </c>
    </row>
    <row r="846" spans="15:15" x14ac:dyDescent="0.25">
      <c r="O846" s="98">
        <f t="shared" si="12"/>
        <v>0</v>
      </c>
    </row>
    <row r="847" spans="15:15" x14ac:dyDescent="0.25">
      <c r="O847" s="98">
        <f t="shared" si="12"/>
        <v>0</v>
      </c>
    </row>
    <row r="848" spans="15:15" x14ac:dyDescent="0.25">
      <c r="O848" s="98">
        <f t="shared" ref="O848:O911" si="13">IF(AND(K848&lt;&gt;0,K849=0),ROW(K848),0)</f>
        <v>0</v>
      </c>
    </row>
    <row r="849" spans="15:15" x14ac:dyDescent="0.25">
      <c r="O849" s="98">
        <f t="shared" si="13"/>
        <v>0</v>
      </c>
    </row>
    <row r="850" spans="15:15" x14ac:dyDescent="0.25">
      <c r="O850" s="98">
        <f t="shared" si="13"/>
        <v>0</v>
      </c>
    </row>
    <row r="851" spans="15:15" x14ac:dyDescent="0.25">
      <c r="O851" s="98">
        <f t="shared" si="13"/>
        <v>0</v>
      </c>
    </row>
    <row r="852" spans="15:15" x14ac:dyDescent="0.25">
      <c r="O852" s="98">
        <f t="shared" si="13"/>
        <v>0</v>
      </c>
    </row>
    <row r="853" spans="15:15" x14ac:dyDescent="0.25">
      <c r="O853" s="98">
        <f t="shared" si="13"/>
        <v>0</v>
      </c>
    </row>
    <row r="854" spans="15:15" x14ac:dyDescent="0.25">
      <c r="O854" s="98">
        <f t="shared" si="13"/>
        <v>0</v>
      </c>
    </row>
    <row r="855" spans="15:15" x14ac:dyDescent="0.25">
      <c r="O855" s="98">
        <f t="shared" si="13"/>
        <v>0</v>
      </c>
    </row>
    <row r="856" spans="15:15" x14ac:dyDescent="0.25">
      <c r="O856" s="98">
        <f t="shared" si="13"/>
        <v>0</v>
      </c>
    </row>
    <row r="857" spans="15:15" x14ac:dyDescent="0.25">
      <c r="O857" s="98">
        <f t="shared" si="13"/>
        <v>0</v>
      </c>
    </row>
    <row r="858" spans="15:15" x14ac:dyDescent="0.25">
      <c r="O858" s="98">
        <f t="shared" si="13"/>
        <v>0</v>
      </c>
    </row>
    <row r="859" spans="15:15" x14ac:dyDescent="0.25">
      <c r="O859" s="98">
        <f t="shared" si="13"/>
        <v>0</v>
      </c>
    </row>
    <row r="860" spans="15:15" x14ac:dyDescent="0.25">
      <c r="O860" s="98">
        <f t="shared" si="13"/>
        <v>0</v>
      </c>
    </row>
    <row r="861" spans="15:15" x14ac:dyDescent="0.25">
      <c r="O861" s="98">
        <f t="shared" si="13"/>
        <v>0</v>
      </c>
    </row>
    <row r="862" spans="15:15" x14ac:dyDescent="0.25">
      <c r="O862" s="98">
        <f t="shared" si="13"/>
        <v>0</v>
      </c>
    </row>
    <row r="863" spans="15:15" x14ac:dyDescent="0.25">
      <c r="O863" s="98">
        <f t="shared" si="13"/>
        <v>0</v>
      </c>
    </row>
    <row r="864" spans="15:15" x14ac:dyDescent="0.25">
      <c r="O864" s="98">
        <f t="shared" si="13"/>
        <v>0</v>
      </c>
    </row>
    <row r="865" spans="15:15" x14ac:dyDescent="0.25">
      <c r="O865" s="98">
        <f t="shared" si="13"/>
        <v>0</v>
      </c>
    </row>
    <row r="866" spans="15:15" x14ac:dyDescent="0.25">
      <c r="O866" s="98">
        <f t="shared" si="13"/>
        <v>0</v>
      </c>
    </row>
    <row r="867" spans="15:15" x14ac:dyDescent="0.25">
      <c r="O867" s="98">
        <f t="shared" si="13"/>
        <v>0</v>
      </c>
    </row>
    <row r="868" spans="15:15" x14ac:dyDescent="0.25">
      <c r="O868" s="98">
        <f t="shared" si="13"/>
        <v>0</v>
      </c>
    </row>
    <row r="869" spans="15:15" x14ac:dyDescent="0.25">
      <c r="O869" s="98">
        <f t="shared" si="13"/>
        <v>0</v>
      </c>
    </row>
    <row r="870" spans="15:15" x14ac:dyDescent="0.25">
      <c r="O870" s="98">
        <f t="shared" si="13"/>
        <v>0</v>
      </c>
    </row>
    <row r="871" spans="15:15" x14ac:dyDescent="0.25">
      <c r="O871" s="98">
        <f t="shared" si="13"/>
        <v>0</v>
      </c>
    </row>
    <row r="872" spans="15:15" x14ac:dyDescent="0.25">
      <c r="O872" s="98">
        <f t="shared" si="13"/>
        <v>0</v>
      </c>
    </row>
    <row r="873" spans="15:15" x14ac:dyDescent="0.25">
      <c r="O873" s="98">
        <f t="shared" si="13"/>
        <v>0</v>
      </c>
    </row>
    <row r="874" spans="15:15" x14ac:dyDescent="0.25">
      <c r="O874" s="98">
        <f t="shared" si="13"/>
        <v>0</v>
      </c>
    </row>
    <row r="875" spans="15:15" x14ac:dyDescent="0.25">
      <c r="O875" s="98">
        <f t="shared" si="13"/>
        <v>0</v>
      </c>
    </row>
    <row r="876" spans="15:15" x14ac:dyDescent="0.25">
      <c r="O876" s="98">
        <f t="shared" si="13"/>
        <v>0</v>
      </c>
    </row>
    <row r="877" spans="15:15" x14ac:dyDescent="0.25">
      <c r="O877" s="98">
        <f t="shared" si="13"/>
        <v>0</v>
      </c>
    </row>
    <row r="878" spans="15:15" x14ac:dyDescent="0.25">
      <c r="O878" s="98">
        <f t="shared" si="13"/>
        <v>0</v>
      </c>
    </row>
    <row r="879" spans="15:15" x14ac:dyDescent="0.25">
      <c r="O879" s="98">
        <f t="shared" si="13"/>
        <v>0</v>
      </c>
    </row>
    <row r="880" spans="15:15" x14ac:dyDescent="0.25">
      <c r="O880" s="98">
        <f t="shared" si="13"/>
        <v>0</v>
      </c>
    </row>
    <row r="881" spans="15:15" x14ac:dyDescent="0.25">
      <c r="O881" s="98">
        <f t="shared" si="13"/>
        <v>0</v>
      </c>
    </row>
    <row r="882" spans="15:15" x14ac:dyDescent="0.25">
      <c r="O882" s="98">
        <f t="shared" si="13"/>
        <v>0</v>
      </c>
    </row>
    <row r="883" spans="15:15" x14ac:dyDescent="0.25">
      <c r="O883" s="98">
        <f t="shared" si="13"/>
        <v>0</v>
      </c>
    </row>
    <row r="884" spans="15:15" x14ac:dyDescent="0.25">
      <c r="O884" s="98">
        <f t="shared" si="13"/>
        <v>0</v>
      </c>
    </row>
    <row r="885" spans="15:15" x14ac:dyDescent="0.25">
      <c r="O885" s="98">
        <f t="shared" si="13"/>
        <v>0</v>
      </c>
    </row>
    <row r="886" spans="15:15" x14ac:dyDescent="0.25">
      <c r="O886" s="98">
        <f t="shared" si="13"/>
        <v>0</v>
      </c>
    </row>
    <row r="887" spans="15:15" x14ac:dyDescent="0.25">
      <c r="O887" s="98">
        <f t="shared" si="13"/>
        <v>0</v>
      </c>
    </row>
    <row r="888" spans="15:15" x14ac:dyDescent="0.25">
      <c r="O888" s="98">
        <f t="shared" si="13"/>
        <v>0</v>
      </c>
    </row>
    <row r="889" spans="15:15" x14ac:dyDescent="0.25">
      <c r="O889" s="98">
        <f t="shared" si="13"/>
        <v>0</v>
      </c>
    </row>
    <row r="890" spans="15:15" x14ac:dyDescent="0.25">
      <c r="O890" s="98">
        <f t="shared" si="13"/>
        <v>0</v>
      </c>
    </row>
    <row r="891" spans="15:15" x14ac:dyDescent="0.25">
      <c r="O891" s="98">
        <f t="shared" si="13"/>
        <v>0</v>
      </c>
    </row>
    <row r="892" spans="15:15" x14ac:dyDescent="0.25">
      <c r="O892" s="98">
        <f t="shared" si="13"/>
        <v>0</v>
      </c>
    </row>
    <row r="893" spans="15:15" x14ac:dyDescent="0.25">
      <c r="O893" s="98">
        <f t="shared" si="13"/>
        <v>0</v>
      </c>
    </row>
    <row r="894" spans="15:15" x14ac:dyDescent="0.25">
      <c r="O894" s="98">
        <f t="shared" si="13"/>
        <v>0</v>
      </c>
    </row>
    <row r="895" spans="15:15" x14ac:dyDescent="0.25">
      <c r="O895" s="98">
        <f t="shared" si="13"/>
        <v>0</v>
      </c>
    </row>
    <row r="896" spans="15:15" x14ac:dyDescent="0.25">
      <c r="O896" s="98">
        <f t="shared" si="13"/>
        <v>0</v>
      </c>
    </row>
    <row r="897" spans="15:15" x14ac:dyDescent="0.25">
      <c r="O897" s="98">
        <f t="shared" si="13"/>
        <v>0</v>
      </c>
    </row>
    <row r="898" spans="15:15" x14ac:dyDescent="0.25">
      <c r="O898" s="98">
        <f t="shared" si="13"/>
        <v>0</v>
      </c>
    </row>
    <row r="899" spans="15:15" x14ac:dyDescent="0.25">
      <c r="O899" s="98">
        <f t="shared" si="13"/>
        <v>0</v>
      </c>
    </row>
    <row r="900" spans="15:15" x14ac:dyDescent="0.25">
      <c r="O900" s="98">
        <f t="shared" si="13"/>
        <v>0</v>
      </c>
    </row>
    <row r="901" spans="15:15" x14ac:dyDescent="0.25">
      <c r="O901" s="98">
        <f t="shared" si="13"/>
        <v>0</v>
      </c>
    </row>
    <row r="902" spans="15:15" x14ac:dyDescent="0.25">
      <c r="O902" s="98">
        <f t="shared" si="13"/>
        <v>0</v>
      </c>
    </row>
    <row r="903" spans="15:15" x14ac:dyDescent="0.25">
      <c r="O903" s="98">
        <f t="shared" si="13"/>
        <v>0</v>
      </c>
    </row>
    <row r="904" spans="15:15" x14ac:dyDescent="0.25">
      <c r="O904" s="98">
        <f t="shared" si="13"/>
        <v>0</v>
      </c>
    </row>
    <row r="905" spans="15:15" x14ac:dyDescent="0.25">
      <c r="O905" s="98">
        <f t="shared" si="13"/>
        <v>0</v>
      </c>
    </row>
    <row r="906" spans="15:15" x14ac:dyDescent="0.25">
      <c r="O906" s="98">
        <f t="shared" si="13"/>
        <v>0</v>
      </c>
    </row>
    <row r="907" spans="15:15" x14ac:dyDescent="0.25">
      <c r="O907" s="98">
        <f t="shared" si="13"/>
        <v>0</v>
      </c>
    </row>
    <row r="908" spans="15:15" x14ac:dyDescent="0.25">
      <c r="O908" s="98">
        <f t="shared" si="13"/>
        <v>0</v>
      </c>
    </row>
    <row r="909" spans="15:15" x14ac:dyDescent="0.25">
      <c r="O909" s="98">
        <f t="shared" si="13"/>
        <v>0</v>
      </c>
    </row>
    <row r="910" spans="15:15" x14ac:dyDescent="0.25">
      <c r="O910" s="98">
        <f t="shared" si="13"/>
        <v>0</v>
      </c>
    </row>
    <row r="911" spans="15:15" x14ac:dyDescent="0.25">
      <c r="O911" s="98">
        <f t="shared" si="13"/>
        <v>0</v>
      </c>
    </row>
    <row r="912" spans="15:15" x14ac:dyDescent="0.25">
      <c r="O912" s="98">
        <f t="shared" ref="O912:O975" si="14">IF(AND(K912&lt;&gt;0,K913=0),ROW(K912),0)</f>
        <v>0</v>
      </c>
    </row>
    <row r="913" spans="15:15" x14ac:dyDescent="0.25">
      <c r="O913" s="98">
        <f t="shared" si="14"/>
        <v>0</v>
      </c>
    </row>
    <row r="914" spans="15:15" x14ac:dyDescent="0.25">
      <c r="O914" s="98">
        <f t="shared" si="14"/>
        <v>0</v>
      </c>
    </row>
    <row r="915" spans="15:15" x14ac:dyDescent="0.25">
      <c r="O915" s="98">
        <f t="shared" si="14"/>
        <v>0</v>
      </c>
    </row>
    <row r="916" spans="15:15" x14ac:dyDescent="0.25">
      <c r="O916" s="98">
        <f t="shared" si="14"/>
        <v>0</v>
      </c>
    </row>
    <row r="917" spans="15:15" x14ac:dyDescent="0.25">
      <c r="O917" s="98">
        <f t="shared" si="14"/>
        <v>0</v>
      </c>
    </row>
    <row r="918" spans="15:15" x14ac:dyDescent="0.25">
      <c r="O918" s="98">
        <f t="shared" si="14"/>
        <v>0</v>
      </c>
    </row>
    <row r="919" spans="15:15" x14ac:dyDescent="0.25">
      <c r="O919" s="98">
        <f t="shared" si="14"/>
        <v>0</v>
      </c>
    </row>
    <row r="920" spans="15:15" x14ac:dyDescent="0.25">
      <c r="O920" s="98">
        <f t="shared" si="14"/>
        <v>0</v>
      </c>
    </row>
    <row r="921" spans="15:15" x14ac:dyDescent="0.25">
      <c r="O921" s="98">
        <f t="shared" si="14"/>
        <v>0</v>
      </c>
    </row>
    <row r="922" spans="15:15" x14ac:dyDescent="0.25">
      <c r="O922" s="98">
        <f t="shared" si="14"/>
        <v>0</v>
      </c>
    </row>
    <row r="923" spans="15:15" x14ac:dyDescent="0.25">
      <c r="O923" s="98">
        <f t="shared" si="14"/>
        <v>0</v>
      </c>
    </row>
    <row r="924" spans="15:15" x14ac:dyDescent="0.25">
      <c r="O924" s="98">
        <f t="shared" si="14"/>
        <v>0</v>
      </c>
    </row>
    <row r="925" spans="15:15" x14ac:dyDescent="0.25">
      <c r="O925" s="98">
        <f t="shared" si="14"/>
        <v>0</v>
      </c>
    </row>
    <row r="926" spans="15:15" x14ac:dyDescent="0.25">
      <c r="O926" s="98">
        <f t="shared" si="14"/>
        <v>0</v>
      </c>
    </row>
    <row r="927" spans="15:15" x14ac:dyDescent="0.25">
      <c r="O927" s="98">
        <f t="shared" si="14"/>
        <v>0</v>
      </c>
    </row>
    <row r="928" spans="15:15" x14ac:dyDescent="0.25">
      <c r="O928" s="98">
        <f t="shared" si="14"/>
        <v>0</v>
      </c>
    </row>
    <row r="929" spans="15:15" x14ac:dyDescent="0.25">
      <c r="O929" s="98">
        <f t="shared" si="14"/>
        <v>0</v>
      </c>
    </row>
    <row r="930" spans="15:15" x14ac:dyDescent="0.25">
      <c r="O930" s="98">
        <f t="shared" si="14"/>
        <v>0</v>
      </c>
    </row>
    <row r="931" spans="15:15" x14ac:dyDescent="0.25">
      <c r="O931" s="98">
        <f t="shared" si="14"/>
        <v>0</v>
      </c>
    </row>
    <row r="932" spans="15:15" x14ac:dyDescent="0.25">
      <c r="O932" s="98">
        <f t="shared" si="14"/>
        <v>0</v>
      </c>
    </row>
    <row r="933" spans="15:15" x14ac:dyDescent="0.25">
      <c r="O933" s="98">
        <f t="shared" si="14"/>
        <v>0</v>
      </c>
    </row>
    <row r="934" spans="15:15" x14ac:dyDescent="0.25">
      <c r="O934" s="98">
        <f t="shared" si="14"/>
        <v>0</v>
      </c>
    </row>
    <row r="935" spans="15:15" x14ac:dyDescent="0.25">
      <c r="O935" s="98">
        <f t="shared" si="14"/>
        <v>0</v>
      </c>
    </row>
    <row r="936" spans="15:15" x14ac:dyDescent="0.25">
      <c r="O936" s="98">
        <f t="shared" si="14"/>
        <v>0</v>
      </c>
    </row>
    <row r="937" spans="15:15" x14ac:dyDescent="0.25">
      <c r="O937" s="98">
        <f t="shared" si="14"/>
        <v>0</v>
      </c>
    </row>
    <row r="938" spans="15:15" x14ac:dyDescent="0.25">
      <c r="O938" s="98">
        <f t="shared" si="14"/>
        <v>0</v>
      </c>
    </row>
    <row r="939" spans="15:15" x14ac:dyDescent="0.25">
      <c r="O939" s="98">
        <f t="shared" si="14"/>
        <v>0</v>
      </c>
    </row>
    <row r="940" spans="15:15" x14ac:dyDescent="0.25">
      <c r="O940" s="98">
        <f t="shared" si="14"/>
        <v>0</v>
      </c>
    </row>
    <row r="941" spans="15:15" x14ac:dyDescent="0.25">
      <c r="O941" s="98">
        <f t="shared" si="14"/>
        <v>0</v>
      </c>
    </row>
    <row r="942" spans="15:15" x14ac:dyDescent="0.25">
      <c r="O942" s="98">
        <f t="shared" si="14"/>
        <v>0</v>
      </c>
    </row>
    <row r="943" spans="15:15" x14ac:dyDescent="0.25">
      <c r="O943" s="98">
        <f t="shared" si="14"/>
        <v>0</v>
      </c>
    </row>
    <row r="944" spans="15:15" x14ac:dyDescent="0.25">
      <c r="O944" s="98">
        <f t="shared" si="14"/>
        <v>0</v>
      </c>
    </row>
    <row r="945" spans="15:15" x14ac:dyDescent="0.25">
      <c r="O945" s="98">
        <f t="shared" si="14"/>
        <v>0</v>
      </c>
    </row>
    <row r="946" spans="15:15" x14ac:dyDescent="0.25">
      <c r="O946" s="98">
        <f t="shared" si="14"/>
        <v>0</v>
      </c>
    </row>
    <row r="947" spans="15:15" x14ac:dyDescent="0.25">
      <c r="O947" s="98">
        <f t="shared" si="14"/>
        <v>0</v>
      </c>
    </row>
    <row r="948" spans="15:15" x14ac:dyDescent="0.25">
      <c r="O948" s="98">
        <f t="shared" si="14"/>
        <v>0</v>
      </c>
    </row>
    <row r="949" spans="15:15" x14ac:dyDescent="0.25">
      <c r="O949" s="98">
        <f t="shared" si="14"/>
        <v>0</v>
      </c>
    </row>
    <row r="950" spans="15:15" x14ac:dyDescent="0.25">
      <c r="O950" s="98">
        <f t="shared" si="14"/>
        <v>0</v>
      </c>
    </row>
    <row r="951" spans="15:15" x14ac:dyDescent="0.25">
      <c r="O951" s="98">
        <f t="shared" si="14"/>
        <v>0</v>
      </c>
    </row>
    <row r="952" spans="15:15" x14ac:dyDescent="0.25">
      <c r="O952" s="98">
        <f t="shared" si="14"/>
        <v>0</v>
      </c>
    </row>
    <row r="953" spans="15:15" x14ac:dyDescent="0.25">
      <c r="O953" s="98">
        <f t="shared" si="14"/>
        <v>0</v>
      </c>
    </row>
    <row r="954" spans="15:15" x14ac:dyDescent="0.25">
      <c r="O954" s="98">
        <f t="shared" si="14"/>
        <v>0</v>
      </c>
    </row>
    <row r="955" spans="15:15" x14ac:dyDescent="0.25">
      <c r="O955" s="98">
        <f t="shared" si="14"/>
        <v>0</v>
      </c>
    </row>
    <row r="956" spans="15:15" x14ac:dyDescent="0.25">
      <c r="O956" s="98">
        <f t="shared" si="14"/>
        <v>0</v>
      </c>
    </row>
    <row r="957" spans="15:15" x14ac:dyDescent="0.25">
      <c r="O957" s="98">
        <f t="shared" si="14"/>
        <v>0</v>
      </c>
    </row>
    <row r="958" spans="15:15" x14ac:dyDescent="0.25">
      <c r="O958" s="98">
        <f t="shared" si="14"/>
        <v>0</v>
      </c>
    </row>
    <row r="959" spans="15:15" x14ac:dyDescent="0.25">
      <c r="O959" s="98">
        <f t="shared" si="14"/>
        <v>0</v>
      </c>
    </row>
    <row r="960" spans="15:15" x14ac:dyDescent="0.25">
      <c r="O960" s="98">
        <f t="shared" si="14"/>
        <v>0</v>
      </c>
    </row>
    <row r="961" spans="15:15" x14ac:dyDescent="0.25">
      <c r="O961" s="98">
        <f t="shared" si="14"/>
        <v>0</v>
      </c>
    </row>
    <row r="962" spans="15:15" x14ac:dyDescent="0.25">
      <c r="O962" s="98">
        <f t="shared" si="14"/>
        <v>0</v>
      </c>
    </row>
    <row r="963" spans="15:15" x14ac:dyDescent="0.25">
      <c r="O963" s="98">
        <f t="shared" si="14"/>
        <v>0</v>
      </c>
    </row>
    <row r="964" spans="15:15" x14ac:dyDescent="0.25">
      <c r="O964" s="98">
        <f t="shared" si="14"/>
        <v>0</v>
      </c>
    </row>
    <row r="965" spans="15:15" x14ac:dyDescent="0.25">
      <c r="O965" s="98">
        <f t="shared" si="14"/>
        <v>0</v>
      </c>
    </row>
    <row r="966" spans="15:15" x14ac:dyDescent="0.25">
      <c r="O966" s="98">
        <f t="shared" si="14"/>
        <v>0</v>
      </c>
    </row>
    <row r="967" spans="15:15" x14ac:dyDescent="0.25">
      <c r="O967" s="98">
        <f t="shared" si="14"/>
        <v>0</v>
      </c>
    </row>
    <row r="968" spans="15:15" x14ac:dyDescent="0.25">
      <c r="O968" s="98">
        <f t="shared" si="14"/>
        <v>0</v>
      </c>
    </row>
    <row r="969" spans="15:15" x14ac:dyDescent="0.25">
      <c r="O969" s="98">
        <f t="shared" si="14"/>
        <v>0</v>
      </c>
    </row>
    <row r="970" spans="15:15" x14ac:dyDescent="0.25">
      <c r="O970" s="98">
        <f t="shared" si="14"/>
        <v>0</v>
      </c>
    </row>
    <row r="971" spans="15:15" x14ac:dyDescent="0.25">
      <c r="O971" s="98">
        <f t="shared" si="14"/>
        <v>0</v>
      </c>
    </row>
    <row r="972" spans="15:15" x14ac:dyDescent="0.25">
      <c r="O972" s="98">
        <f t="shared" si="14"/>
        <v>0</v>
      </c>
    </row>
    <row r="973" spans="15:15" x14ac:dyDescent="0.25">
      <c r="O973" s="98">
        <f t="shared" si="14"/>
        <v>0</v>
      </c>
    </row>
    <row r="974" spans="15:15" x14ac:dyDescent="0.25">
      <c r="O974" s="98">
        <f t="shared" si="14"/>
        <v>0</v>
      </c>
    </row>
    <row r="975" spans="15:15" x14ac:dyDescent="0.25">
      <c r="O975" s="98">
        <f t="shared" si="14"/>
        <v>0</v>
      </c>
    </row>
    <row r="976" spans="15:15" x14ac:dyDescent="0.25">
      <c r="O976" s="98">
        <f t="shared" ref="O976:O1000" si="15">IF(AND(K976&lt;&gt;0,K977=0),ROW(K976),0)</f>
        <v>0</v>
      </c>
    </row>
    <row r="977" spans="15:15" x14ac:dyDescent="0.25">
      <c r="O977" s="98">
        <f t="shared" si="15"/>
        <v>0</v>
      </c>
    </row>
    <row r="978" spans="15:15" x14ac:dyDescent="0.25">
      <c r="O978" s="98">
        <f t="shared" si="15"/>
        <v>0</v>
      </c>
    </row>
    <row r="979" spans="15:15" x14ac:dyDescent="0.25">
      <c r="O979" s="98">
        <f t="shared" si="15"/>
        <v>0</v>
      </c>
    </row>
    <row r="980" spans="15:15" x14ac:dyDescent="0.25">
      <c r="O980" s="98">
        <f t="shared" si="15"/>
        <v>0</v>
      </c>
    </row>
    <row r="981" spans="15:15" x14ac:dyDescent="0.25">
      <c r="O981" s="98">
        <f t="shared" si="15"/>
        <v>0</v>
      </c>
    </row>
    <row r="982" spans="15:15" x14ac:dyDescent="0.25">
      <c r="O982" s="98">
        <f t="shared" si="15"/>
        <v>0</v>
      </c>
    </row>
    <row r="983" spans="15:15" x14ac:dyDescent="0.25">
      <c r="O983" s="98">
        <f t="shared" si="15"/>
        <v>0</v>
      </c>
    </row>
    <row r="984" spans="15:15" x14ac:dyDescent="0.25">
      <c r="O984" s="98">
        <f t="shared" si="15"/>
        <v>0</v>
      </c>
    </row>
    <row r="985" spans="15:15" x14ac:dyDescent="0.25">
      <c r="O985" s="98">
        <f t="shared" si="15"/>
        <v>0</v>
      </c>
    </row>
    <row r="986" spans="15:15" x14ac:dyDescent="0.25">
      <c r="O986" s="98">
        <f t="shared" si="15"/>
        <v>0</v>
      </c>
    </row>
    <row r="987" spans="15:15" x14ac:dyDescent="0.25">
      <c r="O987" s="98">
        <f t="shared" si="15"/>
        <v>0</v>
      </c>
    </row>
    <row r="988" spans="15:15" x14ac:dyDescent="0.25">
      <c r="O988" s="98">
        <f t="shared" si="15"/>
        <v>0</v>
      </c>
    </row>
    <row r="989" spans="15:15" x14ac:dyDescent="0.25">
      <c r="O989" s="98">
        <f t="shared" si="15"/>
        <v>0</v>
      </c>
    </row>
    <row r="990" spans="15:15" x14ac:dyDescent="0.25">
      <c r="O990" s="98">
        <f t="shared" si="15"/>
        <v>0</v>
      </c>
    </row>
    <row r="991" spans="15:15" x14ac:dyDescent="0.25">
      <c r="O991" s="98">
        <f t="shared" si="15"/>
        <v>0</v>
      </c>
    </row>
    <row r="992" spans="15:15" x14ac:dyDescent="0.25">
      <c r="O992" s="98">
        <f t="shared" si="15"/>
        <v>0</v>
      </c>
    </row>
    <row r="993" spans="15:15" x14ac:dyDescent="0.25">
      <c r="O993" s="98">
        <f t="shared" si="15"/>
        <v>0</v>
      </c>
    </row>
    <row r="994" spans="15:15" x14ac:dyDescent="0.25">
      <c r="O994" s="98">
        <f t="shared" si="15"/>
        <v>0</v>
      </c>
    </row>
    <row r="995" spans="15:15" x14ac:dyDescent="0.25">
      <c r="O995" s="98">
        <f t="shared" si="15"/>
        <v>0</v>
      </c>
    </row>
    <row r="996" spans="15:15" x14ac:dyDescent="0.25">
      <c r="O996" s="98">
        <f t="shared" si="15"/>
        <v>0</v>
      </c>
    </row>
    <row r="997" spans="15:15" x14ac:dyDescent="0.25">
      <c r="O997" s="98">
        <f t="shared" si="15"/>
        <v>0</v>
      </c>
    </row>
    <row r="998" spans="15:15" x14ac:dyDescent="0.25">
      <c r="O998" s="98">
        <f t="shared" si="15"/>
        <v>0</v>
      </c>
    </row>
    <row r="999" spans="15:15" x14ac:dyDescent="0.25">
      <c r="O999" s="98">
        <f t="shared" si="15"/>
        <v>0</v>
      </c>
    </row>
    <row r="1000" spans="15:15" x14ac:dyDescent="0.25">
      <c r="O1000" s="98">
        <f t="shared" si="15"/>
        <v>0</v>
      </c>
    </row>
  </sheetData>
  <mergeCells count="19">
    <mergeCell ref="K12:M12"/>
    <mergeCell ref="F8:G8"/>
    <mergeCell ref="H8:I8"/>
    <mergeCell ref="F9:G9"/>
    <mergeCell ref="H9:I9"/>
    <mergeCell ref="E12:G12"/>
    <mergeCell ref="H12:J12"/>
    <mergeCell ref="F6:G6"/>
    <mergeCell ref="H6:I6"/>
    <mergeCell ref="K6:L7"/>
    <mergeCell ref="M6:M7"/>
    <mergeCell ref="F7:G7"/>
    <mergeCell ref="H7:I7"/>
    <mergeCell ref="B3:C3"/>
    <mergeCell ref="F3:I3"/>
    <mergeCell ref="F4:G4"/>
    <mergeCell ref="H4:I4"/>
    <mergeCell ref="F5:G5"/>
    <mergeCell ref="H5:I5"/>
  </mergeCells>
  <conditionalFormatting sqref="E11:M13 E1:M2 H10:M10 E3 J3:M5 J8:J9">
    <cfRule type="cellIs" dxfId="6" priority="8" operator="equal">
      <formula>0</formula>
    </cfRule>
  </conditionalFormatting>
  <conditionalFormatting sqref="M6">
    <cfRule type="containsErrors" dxfId="5" priority="6">
      <formula>ISERROR(M6)</formula>
    </cfRule>
    <cfRule type="cellIs" dxfId="4" priority="7" operator="equal">
      <formula>0</formula>
    </cfRule>
  </conditionalFormatting>
  <conditionalFormatting sqref="H4:H9">
    <cfRule type="containsErrors" dxfId="3" priority="2">
      <formula>ISERROR(H4)</formula>
    </cfRule>
  </conditionalFormatting>
  <conditionalFormatting sqref="H4:H8 F3:F9">
    <cfRule type="cellIs" dxfId="2" priority="5" operator="equal">
      <formula>0</formula>
    </cfRule>
  </conditionalFormatting>
  <conditionalFormatting sqref="H9">
    <cfRule type="cellIs" dxfId="1" priority="4" operator="notEqual">
      <formula>0</formula>
    </cfRule>
  </conditionalFormatting>
  <conditionalFormatting sqref="B3">
    <cfRule type="cellIs" dxfId="0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4198C6F2-6328-4470-A5FA-93FB1845697F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0"/>
              <x14:cfIcon iconSet="3Symbols" iconId="2"/>
              <x14:cfIcon iconSet="3Symbols" iconId="0"/>
            </x14:iconSet>
          </x14:cfRule>
          <xm:sqref>H9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5:G5"/>
  <sheetViews>
    <sheetView workbookViewId="0">
      <selection activeCell="A6" sqref="A6:G6"/>
    </sheetView>
  </sheetViews>
  <sheetFormatPr baseColWidth="10" defaultRowHeight="15" x14ac:dyDescent="0.25"/>
  <cols>
    <col min="1" max="1" width="4.140625" bestFit="1" customWidth="1"/>
    <col min="2" max="2" width="15.42578125" bestFit="1" customWidth="1"/>
    <col min="3" max="3" width="26.140625" bestFit="1" customWidth="1"/>
    <col min="4" max="4" width="21" bestFit="1" customWidth="1"/>
    <col min="5" max="5" width="20.5703125" bestFit="1" customWidth="1"/>
    <col min="6" max="6" width="5.85546875" bestFit="1" customWidth="1"/>
    <col min="7" max="7" width="23.42578125" bestFit="1" customWidth="1"/>
  </cols>
  <sheetData>
    <row r="5" spans="1:7" x14ac:dyDescent="0.25">
      <c r="A5" s="6" t="s">
        <v>15</v>
      </c>
      <c r="B5" s="6" t="s">
        <v>9</v>
      </c>
      <c r="C5" s="6" t="s">
        <v>10</v>
      </c>
      <c r="D5" s="6" t="s">
        <v>11</v>
      </c>
      <c r="E5" s="6" t="s">
        <v>12</v>
      </c>
      <c r="F5" s="6" t="s">
        <v>13</v>
      </c>
      <c r="G5" s="6" t="s">
        <v>14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nsula_clientes">
                <anchor moveWithCells="1" sizeWithCells="1">
                  <from>
                    <xdr:col>6</xdr:col>
                    <xdr:colOff>1543050</xdr:colOff>
                    <xdr:row>1</xdr:row>
                    <xdr:rowOff>0</xdr:rowOff>
                  </from>
                  <to>
                    <xdr:col>8</xdr:col>
                    <xdr:colOff>752475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>
      <selection activeCell="B2" sqref="B2"/>
    </sheetView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15"/>
  <sheetViews>
    <sheetView showGridLines="0" workbookViewId="0">
      <selection activeCell="A2" sqref="A2"/>
    </sheetView>
  </sheetViews>
  <sheetFormatPr baseColWidth="10" defaultRowHeight="15" x14ac:dyDescent="0.25"/>
  <cols>
    <col min="1" max="1" width="26.7109375" customWidth="1"/>
    <col min="2" max="2" width="5.5703125" bestFit="1" customWidth="1"/>
    <col min="3" max="3" width="13.7109375" bestFit="1" customWidth="1"/>
    <col min="4" max="4" width="17.140625" customWidth="1"/>
  </cols>
  <sheetData>
    <row r="1" spans="1:4" ht="66.75" customHeight="1" thickBot="1" x14ac:dyDescent="0.3">
      <c r="A1" s="187" t="s">
        <v>60</v>
      </c>
      <c r="B1" s="187"/>
      <c r="C1" s="187"/>
      <c r="D1" s="187"/>
    </row>
    <row r="2" spans="1:4" x14ac:dyDescent="0.25">
      <c r="A2" s="2"/>
      <c r="B2" s="2"/>
      <c r="C2" s="2"/>
      <c r="D2" s="2"/>
    </row>
    <row r="3" spans="1:4" x14ac:dyDescent="0.25">
      <c r="A3" t="s">
        <v>1</v>
      </c>
      <c r="B3" s="186" t="s">
        <v>68</v>
      </c>
      <c r="C3" s="186"/>
      <c r="D3" s="186"/>
    </row>
    <row r="4" spans="1:4" x14ac:dyDescent="0.25">
      <c r="A4" t="s">
        <v>2</v>
      </c>
      <c r="B4" s="188">
        <v>44570.681631944448</v>
      </c>
      <c r="C4" s="186"/>
      <c r="D4" s="186"/>
    </row>
    <row r="5" spans="1:4" x14ac:dyDescent="0.25">
      <c r="A5" t="s">
        <v>8</v>
      </c>
      <c r="B5" s="186">
        <v>1075269250</v>
      </c>
      <c r="C5" s="186"/>
      <c r="D5" s="186"/>
    </row>
    <row r="6" spans="1:4" x14ac:dyDescent="0.25">
      <c r="A6" t="s">
        <v>3</v>
      </c>
      <c r="B6" s="189" t="s">
        <v>16</v>
      </c>
      <c r="C6" s="189"/>
      <c r="D6" s="189"/>
    </row>
    <row r="7" spans="1:4" x14ac:dyDescent="0.25">
      <c r="A7" t="s">
        <v>0</v>
      </c>
      <c r="B7" s="186">
        <v>3204057830</v>
      </c>
      <c r="C7" s="186"/>
      <c r="D7" s="186"/>
    </row>
    <row r="8" spans="1:4" ht="15.75" thickBot="1" x14ac:dyDescent="0.3">
      <c r="A8" s="1"/>
      <c r="B8" s="1"/>
      <c r="C8" s="1"/>
      <c r="D8" s="1"/>
    </row>
    <row r="9" spans="1:4" x14ac:dyDescent="0.25">
      <c r="A9" s="4"/>
      <c r="B9" s="4"/>
      <c r="C9" s="4"/>
      <c r="D9" s="3"/>
    </row>
    <row r="10" spans="1:4" x14ac:dyDescent="0.25">
      <c r="A10" s="4" t="s">
        <v>5</v>
      </c>
      <c r="B10" s="4" t="s">
        <v>7</v>
      </c>
      <c r="C10" s="4" t="s">
        <v>6</v>
      </c>
      <c r="D10" s="3" t="s">
        <v>4</v>
      </c>
    </row>
    <row r="11" spans="1:4" x14ac:dyDescent="0.25">
      <c r="A11" t="s">
        <v>66</v>
      </c>
      <c r="B11">
        <v>88</v>
      </c>
      <c r="C11" s="109">
        <v>146050</v>
      </c>
      <c r="D11" s="109">
        <v>12852400</v>
      </c>
    </row>
    <row r="13" spans="1:4" x14ac:dyDescent="0.25">
      <c r="A13" t="s">
        <v>61</v>
      </c>
      <c r="D13" s="109">
        <v>12852400</v>
      </c>
    </row>
    <row r="14" spans="1:4" x14ac:dyDescent="0.25">
      <c r="A14" t="s">
        <v>62</v>
      </c>
      <c r="D14">
        <v>0</v>
      </c>
    </row>
    <row r="15" spans="1:4" x14ac:dyDescent="0.25">
      <c r="A15" t="s">
        <v>63</v>
      </c>
      <c r="D15" s="109">
        <v>12852400</v>
      </c>
    </row>
  </sheetData>
  <mergeCells count="6">
    <mergeCell ref="B7:D7"/>
    <mergeCell ref="A1:D1"/>
    <mergeCell ref="B3:D3"/>
    <mergeCell ref="B4:D4"/>
    <mergeCell ref="B5:D5"/>
    <mergeCell ref="B6:D6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C9"/>
  <sheetViews>
    <sheetView workbookViewId="0">
      <selection activeCell="A10" sqref="A10"/>
    </sheetView>
  </sheetViews>
  <sheetFormatPr baseColWidth="10" defaultRowHeight="15" x14ac:dyDescent="0.25"/>
  <cols>
    <col min="1" max="1" width="23.7109375" bestFit="1" customWidth="1"/>
  </cols>
  <sheetData>
    <row r="1" spans="1:3" x14ac:dyDescent="0.25">
      <c r="A1" s="78" t="s">
        <v>34</v>
      </c>
    </row>
    <row r="2" spans="1:3" x14ac:dyDescent="0.25">
      <c r="A2" s="78" t="s">
        <v>19</v>
      </c>
    </row>
    <row r="3" spans="1:3" x14ac:dyDescent="0.25">
      <c r="A3" s="78" t="s">
        <v>35</v>
      </c>
    </row>
    <row r="4" spans="1:3" x14ac:dyDescent="0.25">
      <c r="A4" s="78" t="s">
        <v>36</v>
      </c>
    </row>
    <row r="5" spans="1:3" x14ac:dyDescent="0.25">
      <c r="A5" s="78" t="s">
        <v>37</v>
      </c>
    </row>
    <row r="6" spans="1:3" x14ac:dyDescent="0.25">
      <c r="C6" s="79"/>
    </row>
    <row r="7" spans="1:3" x14ac:dyDescent="0.25">
      <c r="A7" s="111" t="s">
        <v>56</v>
      </c>
    </row>
    <row r="8" spans="1:3" x14ac:dyDescent="0.25">
      <c r="A8" s="78" t="s">
        <v>58</v>
      </c>
    </row>
    <row r="9" spans="1:3" x14ac:dyDescent="0.25">
      <c r="A9" s="78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TABLERO</vt:lpstr>
      <vt:lpstr>CONTROL INVENTARIO</vt:lpstr>
      <vt:lpstr>INFORMES CLIENTES</vt:lpstr>
      <vt:lpstr>INFORMES DE VENTAS</vt:lpstr>
      <vt:lpstr>FACTURA</vt:lpstr>
      <vt:lpstr>METADATA</vt:lpstr>
      <vt:lpstr>MOVIMIENTO</vt:lpstr>
    </vt:vector>
  </TitlesOfParts>
  <Company>Dixguel03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MAKAIA</dc:creator>
  <cp:lastModifiedBy>yeinercq</cp:lastModifiedBy>
  <cp:lastPrinted>2022-01-09T21:21:36Z</cp:lastPrinted>
  <dcterms:created xsi:type="dcterms:W3CDTF">2020-07-28T02:46:18Z</dcterms:created>
  <dcterms:modified xsi:type="dcterms:W3CDTF">2022-01-09T21:30:03Z</dcterms:modified>
</cp:coreProperties>
</file>